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Forecast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Correlation Summary" sheetId="3" state="visible" r:id="rId3"/>
    <sheet xmlns:r="http://schemas.openxmlformats.org/officeDocument/2006/relationships" name="Accuracy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1F4E79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2E8B22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FFFDF"/>
      </patternFill>
    </fill>
    <fill>
      <patternFill patternType="solid">
        <fgColor rgb="000D7377"/>
      </patternFill>
    </fill>
    <fill>
      <patternFill patternType="solid">
        <fgColor rgb="00FFE0E0"/>
      </patternFill>
    </fill>
    <fill>
      <patternFill patternType="solid">
        <fgColor rgb="0037562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3" fontId="3" fillId="7" borderId="1" applyAlignment="1" pivotButton="0" quotePrefix="0" xfId="0">
      <alignment horizontal="right" vertical="center"/>
    </xf>
    <xf numFmtId="0" fontId="4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6" fontId="3" fillId="9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3" fontId="5" fillId="11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3" fontId="2" fillId="10" borderId="1" applyAlignment="1" pivotButton="0" quotePrefix="0" xfId="0">
      <alignment horizontal="right" vertical="center"/>
    </xf>
    <xf numFmtId="165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3" customWidth="1" min="3" max="3"/>
    <col width="13" customWidth="1" min="4" max="4"/>
    <col width="9" customWidth="1" min="5" max="5"/>
    <col width="8" customWidth="1" min="6" max="6"/>
    <col width="15" customWidth="1" min="7" max="7"/>
    <col width="10" customWidth="1" min="8" max="8"/>
    <col width="14" customWidth="1" min="9" max="9"/>
    <col width="11" customWidth="1" min="10" max="10"/>
    <col width="14" customWidth="1" min="11" max="11"/>
    <col width="11" customWidth="1" min="12" max="12"/>
    <col width="11" customWidth="1" min="13" max="13"/>
    <col width="40" customWidth="1" min="14" max="14"/>
  </cols>
  <sheetData>
    <row r="1" ht="28" customHeight="1">
      <c r="A1" s="1" t="inlineStr">
        <is>
          <t>FY26 Q2 — Correlation-Adjusted Demand Forecast | All 30 Products</t>
        </is>
      </c>
    </row>
    <row r="2" ht="38" customHeight="1">
      <c r="A2" s="2" t="inlineStr">
        <is>
          <t>#</t>
        </is>
      </c>
      <c r="B2" s="2" t="inlineStr">
        <is>
          <t>Product Name</t>
        </is>
      </c>
      <c r="C2" s="2" t="inlineStr">
        <is>
          <t>Life Cycle</t>
        </is>
      </c>
      <c r="D2" s="2" t="inlineStr">
        <is>
          <t>FY26 Q1
Adj Actual</t>
        </is>
      </c>
      <c r="E2" s="2" t="inlineStr">
        <is>
          <t>Best
Model</t>
        </is>
      </c>
      <c r="F2" s="2" t="inlineStr">
        <is>
          <t>BT MAPE</t>
        </is>
      </c>
      <c r="G2" s="2" t="inlineStr">
        <is>
          <t>Base Forecast
(Avg Deal)</t>
        </is>
      </c>
      <c r="H2" s="2" t="inlineStr">
        <is>
          <t>Corr Adj
%</t>
        </is>
      </c>
      <c r="I2" s="2" t="inlineStr">
        <is>
          <t>Corr Adj
Forecast</t>
        </is>
      </c>
      <c r="J2" s="2" t="inlineStr">
        <is>
          <t>BD Overlay</t>
        </is>
      </c>
      <c r="K2" s="2" t="inlineStr">
        <is>
          <t>FINAL
FORECAST</t>
        </is>
      </c>
      <c r="L2" s="2" t="inlineStr">
        <is>
          <t>Lower
Bound</t>
        </is>
      </c>
      <c r="M2" s="2" t="inlineStr">
        <is>
          <t>Upper
Bound</t>
        </is>
      </c>
      <c r="N2" s="2" t="inlineStr">
        <is>
          <t>Adjustment Reason</t>
        </is>
      </c>
    </row>
    <row r="3">
      <c r="A3" s="3" t="n">
        <v>1</v>
      </c>
      <c r="B3" s="4" t="inlineStr">
        <is>
          <t>SWITCH Enterprise 48-Port UPOE</t>
        </is>
      </c>
      <c r="C3" s="3" t="inlineStr">
        <is>
          <t>Sustaining</t>
        </is>
      </c>
      <c r="D3" s="5" t="n">
        <v>13938</v>
      </c>
      <c r="E3" s="3" t="inlineStr">
        <is>
          <t>LR</t>
        </is>
      </c>
      <c r="F3" s="6" t="n">
        <v>17.2</v>
      </c>
      <c r="G3" s="5" t="n">
        <v>13938</v>
      </c>
      <c r="H3" s="7" t="n">
        <v>0</v>
      </c>
      <c r="I3" s="5" t="n">
        <v>13938</v>
      </c>
      <c r="J3" s="5" t="n">
        <v>1144</v>
      </c>
      <c r="K3" s="8" t="n">
        <v>15082</v>
      </c>
      <c r="L3" s="5" t="n">
        <v>12487</v>
      </c>
      <c r="M3" s="5" t="n">
        <v>17676</v>
      </c>
      <c r="N3" s="4" t="inlineStr">
        <is>
          <t>No cluster</t>
        </is>
      </c>
    </row>
    <row r="4">
      <c r="A4" s="9" t="n">
        <v>2</v>
      </c>
      <c r="B4" s="10" t="inlineStr">
        <is>
          <t>WIRELESS ACCESS POINT WiFi6E (Internal Antenna) Indoor</t>
        </is>
      </c>
      <c r="C4" s="9" t="inlineStr">
        <is>
          <t>Sustaining</t>
        </is>
      </c>
      <c r="D4" s="11" t="n">
        <v>54115</v>
      </c>
      <c r="E4" s="9" t="inlineStr">
        <is>
          <t>SES</t>
        </is>
      </c>
      <c r="F4" s="12" t="n">
        <v>26.3</v>
      </c>
      <c r="G4" s="11" t="n">
        <v>54115</v>
      </c>
      <c r="H4" s="13" t="n">
        <v>0.0175</v>
      </c>
      <c r="I4" s="11" t="n">
        <v>55062</v>
      </c>
      <c r="J4" s="11" t="n">
        <v>11339</v>
      </c>
      <c r="K4" s="8" t="n">
        <v>66401</v>
      </c>
      <c r="L4" s="11" t="n">
        <v>48937</v>
      </c>
      <c r="M4" s="11" t="n">
        <v>83864</v>
      </c>
      <c r="N4" s="10" t="inlineStr">
        <is>
          <t>Cluster signal: -6.5%, own: -12.3%, adj: +1.7%</t>
        </is>
      </c>
    </row>
    <row r="5">
      <c r="A5" s="3" t="n">
        <v>3</v>
      </c>
      <c r="B5" s="4" t="inlineStr">
        <is>
          <t>SWITCH Core 25G/100G Fiber</t>
        </is>
      </c>
      <c r="C5" s="3" t="inlineStr">
        <is>
          <t>Sustaining</t>
        </is>
      </c>
      <c r="D5" s="5" t="n">
        <v>6306</v>
      </c>
      <c r="E5" s="3" t="inlineStr">
        <is>
          <t>SES</t>
        </is>
      </c>
      <c r="F5" s="6" t="n">
        <v>1.6</v>
      </c>
      <c r="G5" s="5" t="n">
        <v>6306</v>
      </c>
      <c r="H5" s="7" t="n">
        <v>0.1431</v>
      </c>
      <c r="I5" s="5" t="n">
        <v>7208</v>
      </c>
      <c r="J5" s="5" t="n">
        <v>190</v>
      </c>
      <c r="K5" s="8" t="n">
        <v>7398</v>
      </c>
      <c r="L5" s="5" t="n">
        <v>6806</v>
      </c>
      <c r="M5" s="5" t="n">
        <v>7989</v>
      </c>
      <c r="N5" s="4" t="inlineStr">
        <is>
          <t>Cluster signal: +65.4%, own: +17.7%, adj: +14.3%</t>
        </is>
      </c>
    </row>
    <row r="6">
      <c r="A6" s="9" t="n">
        <v>4</v>
      </c>
      <c r="B6" s="10" t="inlineStr">
        <is>
          <t>SWITCH Enterprise 24-Port PoE+</t>
        </is>
      </c>
      <c r="C6" s="9" t="inlineStr">
        <is>
          <t>Sustaining</t>
        </is>
      </c>
      <c r="D6" s="11" t="n">
        <v>8060</v>
      </c>
      <c r="E6" s="9" t="inlineStr">
        <is>
          <t>LR</t>
        </is>
      </c>
      <c r="F6" s="12" t="n">
        <v>2.6</v>
      </c>
      <c r="G6" s="11" t="n">
        <v>8060</v>
      </c>
      <c r="H6" s="13" t="n">
        <v>0</v>
      </c>
      <c r="I6" s="11" t="n">
        <v>8060</v>
      </c>
      <c r="J6" s="11" t="n">
        <v>758</v>
      </c>
      <c r="K6" s="8" t="n">
        <v>8818</v>
      </c>
      <c r="L6" s="11" t="n">
        <v>8112</v>
      </c>
      <c r="M6" s="11" t="n">
        <v>9523</v>
      </c>
      <c r="N6" s="10" t="inlineStr">
        <is>
          <t>No cluster</t>
        </is>
      </c>
    </row>
    <row r="7">
      <c r="A7" s="3" t="n">
        <v>5</v>
      </c>
      <c r="B7" s="4" t="inlineStr">
        <is>
          <t>WIRELESS ACCESS POINT WiFi6 (Internal Antenna) Indoor</t>
        </is>
      </c>
      <c r="C7" s="3" t="inlineStr">
        <is>
          <t>Sustaining</t>
        </is>
      </c>
      <c r="D7" s="5" t="n">
        <v>35614</v>
      </c>
      <c r="E7" s="3" t="inlineStr">
        <is>
          <t>SES</t>
        </is>
      </c>
      <c r="F7" s="6" t="n">
        <v>2.8</v>
      </c>
      <c r="G7" s="5" t="n">
        <v>35614</v>
      </c>
      <c r="H7" s="7" t="n">
        <v>0</v>
      </c>
      <c r="I7" s="5" t="n">
        <v>35614</v>
      </c>
      <c r="J7" s="5" t="n">
        <v>8691</v>
      </c>
      <c r="K7" s="8" t="n">
        <v>44305</v>
      </c>
      <c r="L7" s="5" t="n">
        <v>40760</v>
      </c>
      <c r="M7" s="5" t="n">
        <v>47849</v>
      </c>
      <c r="N7" s="4" t="inlineStr">
        <is>
          <t>No cluster</t>
        </is>
      </c>
    </row>
    <row r="8">
      <c r="A8" s="9" t="n">
        <v>6</v>
      </c>
      <c r="B8" s="10" t="inlineStr">
        <is>
          <t>ROUTER Core Modular Chassis</t>
        </is>
      </c>
      <c r="C8" s="9" t="inlineStr">
        <is>
          <t>NPI-Ramp</t>
        </is>
      </c>
      <c r="D8" s="11" t="n">
        <v>386</v>
      </c>
      <c r="E8" s="9" t="inlineStr">
        <is>
          <t>Holt</t>
        </is>
      </c>
      <c r="F8" s="12" t="n">
        <v>38.7</v>
      </c>
      <c r="G8" s="11" t="n">
        <v>386</v>
      </c>
      <c r="H8" s="13" t="n">
        <v>-0.15</v>
      </c>
      <c r="I8" s="11" t="n">
        <v>328</v>
      </c>
      <c r="J8" s="11" t="n">
        <v>209</v>
      </c>
      <c r="K8" s="8" t="n">
        <v>537</v>
      </c>
      <c r="L8" s="11" t="n">
        <v>329</v>
      </c>
      <c r="M8" s="11" t="n">
        <v>744</v>
      </c>
      <c r="N8" s="10" t="inlineStr">
        <is>
          <t>Cluster signal: +65.4%, own: +411.4%, adj: -15.0%</t>
        </is>
      </c>
    </row>
    <row r="9">
      <c r="A9" s="3" t="n">
        <v>7</v>
      </c>
      <c r="B9" s="4" t="inlineStr">
        <is>
          <t>SWITCH Enterprise 48-Port Fiber (Non-PoE)</t>
        </is>
      </c>
      <c r="C9" s="3" t="inlineStr">
        <is>
          <t>Sustaining</t>
        </is>
      </c>
      <c r="D9" s="5" t="n">
        <v>2561</v>
      </c>
      <c r="E9" s="3" t="inlineStr">
        <is>
          <t>Holt</t>
        </is>
      </c>
      <c r="F9" s="6" t="n">
        <v>19.3</v>
      </c>
      <c r="G9" s="5" t="n">
        <v>2561</v>
      </c>
      <c r="H9" s="7" t="n">
        <v>0</v>
      </c>
      <c r="I9" s="5" t="n">
        <v>2561</v>
      </c>
      <c r="J9" s="5" t="n">
        <v>87</v>
      </c>
      <c r="K9" s="8" t="n">
        <v>2648</v>
      </c>
      <c r="L9" s="5" t="n">
        <v>2136</v>
      </c>
      <c r="M9" s="5" t="n">
        <v>3159</v>
      </c>
      <c r="N9" s="4" t="inlineStr">
        <is>
          <t>No cluster</t>
        </is>
      </c>
    </row>
    <row r="10">
      <c r="A10" s="9" t="n">
        <v>8</v>
      </c>
      <c r="B10" s="10" t="inlineStr">
        <is>
          <t>SWITCH Enterprise 25G Fiber</t>
        </is>
      </c>
      <c r="C10" s="9" t="inlineStr">
        <is>
          <t>Sustaining</t>
        </is>
      </c>
      <c r="D10" s="11" t="n">
        <v>3266</v>
      </c>
      <c r="E10" s="9" t="inlineStr">
        <is>
          <t>WMA</t>
        </is>
      </c>
      <c r="F10" s="12" t="n">
        <v>3.5</v>
      </c>
      <c r="G10" s="11" t="n">
        <v>3266</v>
      </c>
      <c r="H10" s="13" t="n">
        <v>0.1327</v>
      </c>
      <c r="I10" s="11" t="n">
        <v>3699</v>
      </c>
      <c r="J10" s="11" t="n">
        <v>44</v>
      </c>
      <c r="K10" s="8" t="n">
        <v>3743</v>
      </c>
      <c r="L10" s="11" t="n">
        <v>3443</v>
      </c>
      <c r="M10" s="11" t="n">
        <v>4042</v>
      </c>
      <c r="N10" s="10" t="inlineStr">
        <is>
          <t>Cluster signal: +65.4%, own: +21.1%, adj: +13.3%</t>
        </is>
      </c>
    </row>
    <row r="11">
      <c r="A11" s="3" t="n">
        <v>9</v>
      </c>
      <c r="B11" s="4" t="inlineStr">
        <is>
          <t>SWITCH Enterprise 24-Port UPOE</t>
        </is>
      </c>
      <c r="C11" s="3" t="inlineStr">
        <is>
          <t>Sustaining</t>
        </is>
      </c>
      <c r="D11" s="5" t="n">
        <v>2711</v>
      </c>
      <c r="E11" s="3" t="inlineStr">
        <is>
          <t>WMA</t>
        </is>
      </c>
      <c r="F11" s="6" t="n">
        <v>12.1</v>
      </c>
      <c r="G11" s="5" t="n">
        <v>2711</v>
      </c>
      <c r="H11" s="7" t="n">
        <v>0.1025</v>
      </c>
      <c r="I11" s="5" t="n">
        <v>2989</v>
      </c>
      <c r="J11" s="5" t="n">
        <v>231</v>
      </c>
      <c r="K11" s="8" t="n">
        <v>3220</v>
      </c>
      <c r="L11" s="5" t="n">
        <v>2830</v>
      </c>
      <c r="M11" s="5" t="n">
        <v>3609</v>
      </c>
      <c r="N11" s="4" t="inlineStr">
        <is>
          <t>Cluster signal: +65.4%, own: +31.2%, adj: +10.3%</t>
        </is>
      </c>
    </row>
    <row r="12">
      <c r="A12" s="9" t="n">
        <v>10</v>
      </c>
      <c r="B12" s="10" t="inlineStr">
        <is>
          <t>ROUTER Enterprise Edge 10G/40G</t>
        </is>
      </c>
      <c r="C12" s="9" t="inlineStr">
        <is>
          <t>Decline</t>
        </is>
      </c>
      <c r="D12" s="11" t="n">
        <v>504</v>
      </c>
      <c r="E12" s="9" t="inlineStr">
        <is>
          <t>WMA</t>
        </is>
      </c>
      <c r="F12" s="12" t="n">
        <v>5.3</v>
      </c>
      <c r="G12" s="11" t="n">
        <v>504</v>
      </c>
      <c r="H12" s="13" t="n">
        <v>-0.0175</v>
      </c>
      <c r="I12" s="11" t="n">
        <v>495</v>
      </c>
      <c r="J12" s="11" t="n">
        <v>62</v>
      </c>
      <c r="K12" s="8" t="n">
        <v>557</v>
      </c>
      <c r="L12" s="11" t="n">
        <v>512</v>
      </c>
      <c r="M12" s="11" t="n">
        <v>601</v>
      </c>
      <c r="N12" s="10" t="inlineStr">
        <is>
          <t>Cluster signal: -6.5%, own: -0.7%, adj: -1.7%</t>
        </is>
      </c>
    </row>
    <row r="13">
      <c r="A13" s="3" t="n">
        <v>11</v>
      </c>
      <c r="B13" s="4" t="inlineStr">
        <is>
          <t>SECURITY FIREWALL Next-Generation_2</t>
        </is>
      </c>
      <c r="C13" s="3" t="inlineStr">
        <is>
          <t>Sustaining</t>
        </is>
      </c>
      <c r="D13" s="5" t="n">
        <v>267</v>
      </c>
      <c r="E13" s="3" t="inlineStr">
        <is>
          <t>SES</t>
        </is>
      </c>
      <c r="F13" s="6" t="n">
        <v>8.6</v>
      </c>
      <c r="G13" s="5" t="n">
        <v>267</v>
      </c>
      <c r="H13" s="7" t="n">
        <v>0</v>
      </c>
      <c r="I13" s="5" t="n">
        <v>267</v>
      </c>
      <c r="J13" s="5" t="n">
        <v>0</v>
      </c>
      <c r="K13" s="8" t="n">
        <v>267</v>
      </c>
      <c r="L13" s="5" t="n">
        <v>244</v>
      </c>
      <c r="M13" s="5" t="n">
        <v>289</v>
      </c>
      <c r="N13" s="4" t="inlineStr">
        <is>
          <t>No cluster</t>
        </is>
      </c>
    </row>
    <row r="14">
      <c r="A14" s="9" t="n">
        <v>12</v>
      </c>
      <c r="B14" s="10" t="inlineStr">
        <is>
          <t>WIRELESS ACCESS POINT WiFi6 (External Antenna) Outdoor</t>
        </is>
      </c>
      <c r="C14" s="9" t="inlineStr">
        <is>
          <t>Sustaining</t>
        </is>
      </c>
      <c r="D14" s="11" t="n">
        <v>3861</v>
      </c>
      <c r="E14" s="9" t="inlineStr">
        <is>
          <t>Holt</t>
        </is>
      </c>
      <c r="F14" s="12" t="n">
        <v>17</v>
      </c>
      <c r="G14" s="11" t="n">
        <v>3861</v>
      </c>
      <c r="H14" s="13" t="n">
        <v>0</v>
      </c>
      <c r="I14" s="11" t="n">
        <v>3861</v>
      </c>
      <c r="J14" s="11" t="n">
        <v>193</v>
      </c>
      <c r="K14" s="8" t="n">
        <v>4054</v>
      </c>
      <c r="L14" s="11" t="n">
        <v>3364</v>
      </c>
      <c r="M14" s="11" t="n">
        <v>4743</v>
      </c>
      <c r="N14" s="10" t="inlineStr">
        <is>
          <t>No cluster</t>
        </is>
      </c>
    </row>
    <row r="15">
      <c r="A15" s="3" t="n">
        <v>13</v>
      </c>
      <c r="B15" s="4" t="inlineStr">
        <is>
          <t>SWITCH Core 100G Fiber</t>
        </is>
      </c>
      <c r="C15" s="3" t="inlineStr">
        <is>
          <t>Sustaining</t>
        </is>
      </c>
      <c r="D15" s="5" t="n">
        <v>583</v>
      </c>
      <c r="E15" s="3" t="inlineStr">
        <is>
          <t>SES</t>
        </is>
      </c>
      <c r="F15" s="6" t="n">
        <v>21.2</v>
      </c>
      <c r="G15" s="5" t="n">
        <v>583</v>
      </c>
      <c r="H15" s="7" t="n">
        <v>0</v>
      </c>
      <c r="I15" s="5" t="n">
        <v>583</v>
      </c>
      <c r="J15" s="5" t="n">
        <v>72</v>
      </c>
      <c r="K15" s="8" t="n">
        <v>655</v>
      </c>
      <c r="L15" s="5" t="n">
        <v>516</v>
      </c>
      <c r="M15" s="5" t="n">
        <v>793</v>
      </c>
      <c r="N15" s="4" t="inlineStr">
        <is>
          <t>No cluster</t>
        </is>
      </c>
    </row>
    <row r="16">
      <c r="A16" s="9" t="n">
        <v>14</v>
      </c>
      <c r="B16" s="10" t="inlineStr">
        <is>
          <t>WIRELESS ACCESS POINT WiFi6E (External Antenna) Outdoor</t>
        </is>
      </c>
      <c r="C16" s="9" t="inlineStr">
        <is>
          <t>Sustaining</t>
        </is>
      </c>
      <c r="D16" s="11" t="n">
        <v>4554</v>
      </c>
      <c r="E16" s="9" t="inlineStr">
        <is>
          <t>WMA</t>
        </is>
      </c>
      <c r="F16" s="12" t="n">
        <v>15</v>
      </c>
      <c r="G16" s="11" t="n">
        <v>4554</v>
      </c>
      <c r="H16" s="13" t="n">
        <v>0.081</v>
      </c>
      <c r="I16" s="11" t="n">
        <v>4923</v>
      </c>
      <c r="J16" s="11" t="n">
        <v>730</v>
      </c>
      <c r="K16" s="8" t="n">
        <v>5653</v>
      </c>
      <c r="L16" s="11" t="n">
        <v>4805</v>
      </c>
      <c r="M16" s="11" t="n">
        <v>6500</v>
      </c>
      <c r="N16" s="10" t="inlineStr">
        <is>
          <t>Cluster signal: +65.4%, own: +38.3%, adj: +8.1%</t>
        </is>
      </c>
    </row>
    <row r="17">
      <c r="A17" s="3" t="n">
        <v>15</v>
      </c>
      <c r="B17" s="4" t="inlineStr">
        <is>
          <t>SECURITY FIREWALL Next-Generation_1</t>
        </is>
      </c>
      <c r="C17" s="3" t="inlineStr">
        <is>
          <t>Sustaining</t>
        </is>
      </c>
      <c r="D17" s="5" t="n">
        <v>339</v>
      </c>
      <c r="E17" s="3" t="inlineStr">
        <is>
          <t>Holt</t>
        </is>
      </c>
      <c r="F17" s="6" t="n">
        <v>1.7</v>
      </c>
      <c r="G17" s="5" t="n">
        <v>339</v>
      </c>
      <c r="H17" s="7" t="n">
        <v>0</v>
      </c>
      <c r="I17" s="5" t="n">
        <v>339</v>
      </c>
      <c r="J17" s="5" t="n">
        <v>3</v>
      </c>
      <c r="K17" s="8" t="n">
        <v>342</v>
      </c>
      <c r="L17" s="5" t="n">
        <v>314</v>
      </c>
      <c r="M17" s="5" t="n">
        <v>369</v>
      </c>
      <c r="N17" s="4" t="inlineStr">
        <is>
          <t>No cluster</t>
        </is>
      </c>
    </row>
    <row r="18">
      <c r="A18" s="9" t="n">
        <v>16</v>
      </c>
      <c r="B18" s="10" t="inlineStr">
        <is>
          <t>SWITCH Enterprise 48-Port PoE+ with 10G Uplink</t>
        </is>
      </c>
      <c r="C18" s="9" t="inlineStr">
        <is>
          <t>Sustaining</t>
        </is>
      </c>
      <c r="D18" s="11" t="n">
        <v>1540</v>
      </c>
      <c r="E18" s="9" t="inlineStr">
        <is>
          <t>LR</t>
        </is>
      </c>
      <c r="F18" s="12" t="n">
        <v>1.6</v>
      </c>
      <c r="G18" s="11" t="n">
        <v>1540</v>
      </c>
      <c r="H18" s="13" t="n">
        <v>0.0263</v>
      </c>
      <c r="I18" s="11" t="n">
        <v>1580</v>
      </c>
      <c r="J18" s="11" t="n">
        <v>360</v>
      </c>
      <c r="K18" s="8" t="n">
        <v>1940</v>
      </c>
      <c r="L18" s="11" t="n">
        <v>1784</v>
      </c>
      <c r="M18" s="11" t="n">
        <v>2095</v>
      </c>
      <c r="N18" s="10" t="inlineStr">
        <is>
          <t>Cluster signal: -10.7%, own: -19.4%, adj: +2.6%</t>
        </is>
      </c>
    </row>
    <row r="19">
      <c r="A19" s="3" t="n">
        <v>17</v>
      </c>
      <c r="B19" s="4" t="inlineStr">
        <is>
          <t>SWITCH Enterprise 24-Port PoE+ Compact</t>
        </is>
      </c>
      <c r="C19" s="3" t="inlineStr">
        <is>
          <t>Sustaining</t>
        </is>
      </c>
      <c r="D19" s="5" t="n">
        <v>1307</v>
      </c>
      <c r="E19" s="3" t="inlineStr">
        <is>
          <t>WMA</t>
        </is>
      </c>
      <c r="F19" s="6" t="n">
        <v>3.8</v>
      </c>
      <c r="G19" s="5" t="n">
        <v>1307</v>
      </c>
      <c r="H19" s="7" t="n">
        <v>0</v>
      </c>
      <c r="I19" s="5" t="n">
        <v>1307</v>
      </c>
      <c r="J19" s="5" t="n">
        <v>132</v>
      </c>
      <c r="K19" s="8" t="n">
        <v>1439</v>
      </c>
      <c r="L19" s="5" t="n">
        <v>1323</v>
      </c>
      <c r="M19" s="5" t="n">
        <v>1554</v>
      </c>
      <c r="N19" s="4" t="inlineStr">
        <is>
          <t>Cluster aligned (div=-3.8%)</t>
        </is>
      </c>
    </row>
    <row r="20">
      <c r="A20" s="9" t="n">
        <v>18</v>
      </c>
      <c r="B20" s="10" t="inlineStr">
        <is>
          <t>SWITCH Data Center 25G/100G Leaf</t>
        </is>
      </c>
      <c r="C20" s="9" t="inlineStr">
        <is>
          <t>Sustaining</t>
        </is>
      </c>
      <c r="D20" s="11" t="n">
        <v>884</v>
      </c>
      <c r="E20" s="9" t="inlineStr">
        <is>
          <t>WMA</t>
        </is>
      </c>
      <c r="F20" s="12" t="n">
        <v>32.6</v>
      </c>
      <c r="G20" s="11" t="n">
        <v>884</v>
      </c>
      <c r="H20" s="13" t="n">
        <v>0.1096</v>
      </c>
      <c r="I20" s="11" t="n">
        <v>981</v>
      </c>
      <c r="J20" s="11" t="n">
        <v>0</v>
      </c>
      <c r="K20" s="8" t="n">
        <v>981</v>
      </c>
      <c r="L20" s="11" t="n">
        <v>661</v>
      </c>
      <c r="M20" s="11" t="n">
        <v>1300</v>
      </c>
      <c r="N20" s="10" t="inlineStr">
        <is>
          <t>Cluster signal: +65.4%, own: +28.8%, adj: +11.0%</t>
        </is>
      </c>
    </row>
    <row r="21">
      <c r="A21" s="3" t="n">
        <v>19</v>
      </c>
      <c r="B21" s="4" t="inlineStr">
        <is>
          <t>WIRELESS ACCESS POINT WiFi6 (External Antenna) Indoor</t>
        </is>
      </c>
      <c r="C21" s="3" t="inlineStr">
        <is>
          <t>Sustaining</t>
        </is>
      </c>
      <c r="D21" s="5" t="n">
        <v>6286</v>
      </c>
      <c r="E21" s="3" t="inlineStr">
        <is>
          <t>Holt</t>
        </is>
      </c>
      <c r="F21" s="6" t="n">
        <v>3</v>
      </c>
      <c r="G21" s="5" t="n">
        <v>6286</v>
      </c>
      <c r="H21" s="7" t="n">
        <v>0</v>
      </c>
      <c r="I21" s="5" t="n">
        <v>6286</v>
      </c>
      <c r="J21" s="5" t="n">
        <v>1162</v>
      </c>
      <c r="K21" s="8" t="n">
        <v>7448</v>
      </c>
      <c r="L21" s="5" t="n">
        <v>6852</v>
      </c>
      <c r="M21" s="5" t="n">
        <v>8043</v>
      </c>
      <c r="N21" s="4" t="inlineStr">
        <is>
          <t>No cluster</t>
        </is>
      </c>
    </row>
    <row r="22">
      <c r="A22" s="9" t="n">
        <v>20</v>
      </c>
      <c r="B22" s="10" t="inlineStr">
        <is>
          <t>SWITCH Data Center 100G Spine</t>
        </is>
      </c>
      <c r="C22" s="9" t="inlineStr">
        <is>
          <t>Decline</t>
        </is>
      </c>
      <c r="D22" s="11" t="n">
        <v>389</v>
      </c>
      <c r="E22" s="9" t="inlineStr">
        <is>
          <t>SES</t>
        </is>
      </c>
      <c r="F22" s="12" t="n">
        <v>15.3</v>
      </c>
      <c r="G22" s="11" t="n">
        <v>389</v>
      </c>
      <c r="H22" s="13" t="n">
        <v>0.0455</v>
      </c>
      <c r="I22" s="11" t="n">
        <v>407</v>
      </c>
      <c r="J22" s="11" t="n">
        <v>26</v>
      </c>
      <c r="K22" s="8" t="n">
        <v>433</v>
      </c>
      <c r="L22" s="11" t="n">
        <v>366</v>
      </c>
      <c r="M22" s="11" t="n">
        <v>499</v>
      </c>
      <c r="N22" s="10" t="inlineStr">
        <is>
          <t>Cluster signal: -4.8%, own: -19.9%, adj: +4.6%</t>
        </is>
      </c>
    </row>
    <row r="23">
      <c r="A23" s="3" t="n">
        <v>21</v>
      </c>
      <c r="B23" s="4" t="inlineStr">
        <is>
          <t>SWITCH Core 100G/400G Fiber</t>
        </is>
      </c>
      <c r="C23" s="3" t="inlineStr">
        <is>
          <t>Sustaining</t>
        </is>
      </c>
      <c r="D23" s="5" t="n">
        <v>209</v>
      </c>
      <c r="E23" s="3" t="inlineStr">
        <is>
          <t>WMA</t>
        </is>
      </c>
      <c r="F23" s="6" t="n">
        <v>7.5</v>
      </c>
      <c r="G23" s="5" t="n">
        <v>209</v>
      </c>
      <c r="H23" s="7" t="n">
        <v>0.15</v>
      </c>
      <c r="I23" s="5" t="n">
        <v>240</v>
      </c>
      <c r="J23" s="5" t="n">
        <v>16</v>
      </c>
      <c r="K23" s="8" t="n">
        <v>256</v>
      </c>
      <c r="L23" s="5" t="n">
        <v>235</v>
      </c>
      <c r="M23" s="5" t="n">
        <v>276</v>
      </c>
      <c r="N23" s="4" t="inlineStr">
        <is>
          <t>Cluster signal: +65.4%, own: +13.9%, adj: +15.0%</t>
        </is>
      </c>
    </row>
    <row r="24">
      <c r="A24" s="9" t="n">
        <v>22</v>
      </c>
      <c r="B24" s="10" t="inlineStr">
        <is>
          <t>IP PHONE Enterprise Desk</t>
        </is>
      </c>
      <c r="C24" s="9" t="inlineStr">
        <is>
          <t>Decline</t>
        </is>
      </c>
      <c r="D24" s="11" t="n">
        <v>8756</v>
      </c>
      <c r="E24" s="9" t="inlineStr">
        <is>
          <t>LR</t>
        </is>
      </c>
      <c r="F24" s="12" t="n">
        <v>39.9</v>
      </c>
      <c r="G24" s="11" t="n">
        <v>8756</v>
      </c>
      <c r="H24" s="13" t="n">
        <v>0</v>
      </c>
      <c r="I24" s="11" t="n">
        <v>8756</v>
      </c>
      <c r="J24" s="11" t="n">
        <v>4464</v>
      </c>
      <c r="K24" s="8" t="n">
        <v>13220</v>
      </c>
      <c r="L24" s="11" t="n">
        <v>7945</v>
      </c>
      <c r="M24" s="11" t="n">
        <v>18494</v>
      </c>
      <c r="N24" s="10" t="inlineStr">
        <is>
          <t>No cluster</t>
        </is>
      </c>
    </row>
    <row r="25">
      <c r="A25" s="3" t="n">
        <v>23</v>
      </c>
      <c r="B25" s="4" t="inlineStr">
        <is>
          <t>ROUTER Branch 4-Port PoE</t>
        </is>
      </c>
      <c r="C25" s="3" t="inlineStr">
        <is>
          <t>Decline</t>
        </is>
      </c>
      <c r="D25" s="5" t="n">
        <v>3635</v>
      </c>
      <c r="E25" s="3" t="inlineStr">
        <is>
          <t>LR</t>
        </is>
      </c>
      <c r="F25" s="6" t="n">
        <v>7.3</v>
      </c>
      <c r="G25" s="5" t="n">
        <v>3635</v>
      </c>
      <c r="H25" s="7" t="n">
        <v>0</v>
      </c>
      <c r="I25" s="5" t="n">
        <v>3635</v>
      </c>
      <c r="J25" s="5" t="n">
        <v>2297</v>
      </c>
      <c r="K25" s="8" t="n">
        <v>5932</v>
      </c>
      <c r="L25" s="5" t="n">
        <v>5457</v>
      </c>
      <c r="M25" s="5" t="n">
        <v>6406</v>
      </c>
      <c r="N25" s="4" t="inlineStr">
        <is>
          <t>No cluster</t>
        </is>
      </c>
    </row>
    <row r="26">
      <c r="A26" s="9" t="n">
        <v>24</v>
      </c>
      <c r="B26" s="10" t="inlineStr">
        <is>
          <t>SWITCH Industrial 8-Port PoE</t>
        </is>
      </c>
      <c r="C26" s="9" t="inlineStr">
        <is>
          <t>Sustaining</t>
        </is>
      </c>
      <c r="D26" s="11" t="n">
        <v>2269</v>
      </c>
      <c r="E26" s="9" t="inlineStr">
        <is>
          <t>LR</t>
        </is>
      </c>
      <c r="F26" s="12" t="n">
        <v>20.7</v>
      </c>
      <c r="G26" s="11" t="n">
        <v>2269</v>
      </c>
      <c r="H26" s="13" t="n">
        <v>0.15</v>
      </c>
      <c r="I26" s="11" t="n">
        <v>2609</v>
      </c>
      <c r="J26" s="11" t="n">
        <v>460</v>
      </c>
      <c r="K26" s="8" t="n">
        <v>3069</v>
      </c>
      <c r="L26" s="11" t="n">
        <v>2433</v>
      </c>
      <c r="M26" s="11" t="n">
        <v>3704</v>
      </c>
      <c r="N26" s="10" t="inlineStr">
        <is>
          <t>Cluster signal: +65.4%, own: +4.6%, adj: +15.0%</t>
        </is>
      </c>
    </row>
    <row r="27">
      <c r="A27" s="3" t="n">
        <v>25</v>
      </c>
      <c r="B27" s="4" t="inlineStr">
        <is>
          <t>IP CONFERENCE PHONE</t>
        </is>
      </c>
      <c r="C27" s="3" t="inlineStr">
        <is>
          <t>Decline</t>
        </is>
      </c>
      <c r="D27" s="5" t="n">
        <v>2175</v>
      </c>
      <c r="E27" s="3" t="inlineStr">
        <is>
          <t>Holt</t>
        </is>
      </c>
      <c r="F27" s="6" t="n">
        <v>70.2</v>
      </c>
      <c r="G27" s="5" t="n">
        <v>2175</v>
      </c>
      <c r="H27" s="7" t="n">
        <v>0</v>
      </c>
      <c r="I27" s="5" t="n">
        <v>2175</v>
      </c>
      <c r="J27" s="5" t="n">
        <v>758</v>
      </c>
      <c r="K27" s="8" t="n">
        <v>2933</v>
      </c>
      <c r="L27" s="5" t="n">
        <v>874</v>
      </c>
      <c r="M27" s="5" t="n">
        <v>4991</v>
      </c>
      <c r="N27" s="4" t="inlineStr">
        <is>
          <t>No cluster</t>
        </is>
      </c>
    </row>
    <row r="28">
      <c r="A28" s="9" t="n">
        <v>26</v>
      </c>
      <c r="B28" s="10" t="inlineStr">
        <is>
          <t>SWITCH Industrial 8-Port PoE Compact</t>
        </is>
      </c>
      <c r="C28" s="9" t="inlineStr">
        <is>
          <t>Sustaining</t>
        </is>
      </c>
      <c r="D28" s="11" t="n">
        <v>1334</v>
      </c>
      <c r="E28" s="9" t="inlineStr">
        <is>
          <t>Holt</t>
        </is>
      </c>
      <c r="F28" s="12" t="n">
        <v>56.9</v>
      </c>
      <c r="G28" s="11" t="n">
        <v>1334</v>
      </c>
      <c r="H28" s="13" t="n">
        <v>0.1325</v>
      </c>
      <c r="I28" s="11" t="n">
        <v>1511</v>
      </c>
      <c r="J28" s="11" t="n">
        <v>411</v>
      </c>
      <c r="K28" s="8" t="n">
        <v>1922</v>
      </c>
      <c r="L28" s="11" t="n">
        <v>828</v>
      </c>
      <c r="M28" s="11" t="n">
        <v>3015</v>
      </c>
      <c r="N28" s="10" t="inlineStr">
        <is>
          <t>Cluster signal: +65.4%, own: +21.2%, adj: +13.3%</t>
        </is>
      </c>
    </row>
    <row r="29">
      <c r="A29" s="3" t="n">
        <v>27</v>
      </c>
      <c r="B29" s="4" t="inlineStr">
        <is>
          <t>SWITCH Industrial Managed</t>
        </is>
      </c>
      <c r="C29" s="3" t="inlineStr">
        <is>
          <t>Sustaining</t>
        </is>
      </c>
      <c r="D29" s="5" t="n">
        <v>1934</v>
      </c>
      <c r="E29" s="3" t="inlineStr">
        <is>
          <t>WMA</t>
        </is>
      </c>
      <c r="F29" s="6" t="n">
        <v>37.4</v>
      </c>
      <c r="G29" s="5" t="n">
        <v>1934</v>
      </c>
      <c r="H29" s="7" t="n">
        <v>-0.0455</v>
      </c>
      <c r="I29" s="5" t="n">
        <v>1846</v>
      </c>
      <c r="J29" s="5" t="n">
        <v>187</v>
      </c>
      <c r="K29" s="8" t="n">
        <v>2033</v>
      </c>
      <c r="L29" s="5" t="n">
        <v>1272</v>
      </c>
      <c r="M29" s="5" t="n">
        <v>2793</v>
      </c>
      <c r="N29" s="4" t="inlineStr">
        <is>
          <t>Cluster signal: -4.8%, own: +10.4%, adj: -4.6%</t>
        </is>
      </c>
    </row>
    <row r="30">
      <c r="A30" s="9" t="n">
        <v>28</v>
      </c>
      <c r="B30" s="10" t="inlineStr">
        <is>
          <t>ROUTER Edge Aggregation Fiber</t>
        </is>
      </c>
      <c r="C30" s="9" t="inlineStr">
        <is>
          <t>Decline</t>
        </is>
      </c>
      <c r="D30" s="11" t="n">
        <v>957</v>
      </c>
      <c r="E30" s="9" t="inlineStr">
        <is>
          <t>LR</t>
        </is>
      </c>
      <c r="F30" s="12" t="n">
        <v>0.8</v>
      </c>
      <c r="G30" s="11" t="n">
        <v>957</v>
      </c>
      <c r="H30" s="13" t="n">
        <v>0</v>
      </c>
      <c r="I30" s="11" t="n">
        <v>957</v>
      </c>
      <c r="J30" s="11" t="n">
        <v>326</v>
      </c>
      <c r="K30" s="8" t="n">
        <v>1283</v>
      </c>
      <c r="L30" s="11" t="n">
        <v>1180</v>
      </c>
      <c r="M30" s="11" t="n">
        <v>1385</v>
      </c>
      <c r="N30" s="10" t="inlineStr">
        <is>
          <t>No cluster</t>
        </is>
      </c>
    </row>
    <row r="31">
      <c r="A31" s="3" t="n">
        <v>29</v>
      </c>
      <c r="B31" s="4" t="inlineStr">
        <is>
          <t>SWITCH Industrial 24-Port PoE</t>
        </is>
      </c>
      <c r="C31" s="3" t="inlineStr">
        <is>
          <t>Sustaining</t>
        </is>
      </c>
      <c r="D31" s="5" t="n">
        <v>362</v>
      </c>
      <c r="E31" s="3" t="inlineStr">
        <is>
          <t>WMA</t>
        </is>
      </c>
      <c r="F31" s="6" t="n">
        <v>21.9</v>
      </c>
      <c r="G31" s="5" t="n">
        <v>362</v>
      </c>
      <c r="H31" s="7" t="n">
        <v>0</v>
      </c>
      <c r="I31" s="5" t="n">
        <v>362</v>
      </c>
      <c r="J31" s="5" t="n">
        <v>66</v>
      </c>
      <c r="K31" s="8" t="n">
        <v>428</v>
      </c>
      <c r="L31" s="5" t="n">
        <v>334</v>
      </c>
      <c r="M31" s="5" t="n">
        <v>521</v>
      </c>
      <c r="N31" s="4" t="inlineStr">
        <is>
          <t>Cluster aligned (div=-4.9%)</t>
        </is>
      </c>
    </row>
    <row r="32">
      <c r="A32" s="9" t="n">
        <v>30</v>
      </c>
      <c r="B32" s="10" t="inlineStr">
        <is>
          <t>ROUTER Branch 8-Port PoE</t>
        </is>
      </c>
      <c r="C32" s="9" t="inlineStr">
        <is>
          <t>Sustaining</t>
        </is>
      </c>
      <c r="D32" s="11" t="n">
        <v>818</v>
      </c>
      <c r="E32" s="9" t="inlineStr">
        <is>
          <t>LR</t>
        </is>
      </c>
      <c r="F32" s="12" t="n">
        <v>8.6</v>
      </c>
      <c r="G32" s="11" t="n">
        <v>818</v>
      </c>
      <c r="H32" s="13" t="n">
        <v>0</v>
      </c>
      <c r="I32" s="11" t="n">
        <v>818</v>
      </c>
      <c r="J32" s="11" t="n">
        <v>526</v>
      </c>
      <c r="K32" s="8" t="n">
        <v>1344</v>
      </c>
      <c r="L32" s="11" t="n">
        <v>1228</v>
      </c>
      <c r="M32" s="11" t="n">
        <v>1459</v>
      </c>
      <c r="N32" s="10" t="inlineStr">
        <is>
          <t>No cluster</t>
        </is>
      </c>
    </row>
    <row r="33">
      <c r="A33" s="14" t="inlineStr">
        <is>
          <t>PORTFOLIO TOTAL</t>
        </is>
      </c>
      <c r="G33" s="15">
        <f>SUM(G3:G32)</f>
        <v/>
      </c>
      <c r="I33" s="15">
        <f>SUM(I3:I32)</f>
        <v/>
      </c>
      <c r="J33" s="15">
        <f>SUM(J3:J32)</f>
        <v/>
      </c>
      <c r="K33" s="15">
        <f>SUM(K3:K32)</f>
        <v/>
      </c>
      <c r="L33" s="15">
        <f>SUM(L3:L32)</f>
        <v/>
      </c>
      <c r="M33" s="15">
        <f>SUM(M3:M32)</f>
        <v/>
      </c>
    </row>
  </sheetData>
  <mergeCells count="2">
    <mergeCell ref="A33:E3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5" customWidth="1" min="9" max="9"/>
    <col width="12" customWidth="1" min="10" max="10"/>
    <col width="13" customWidth="1" min="11" max="11"/>
    <col width="9" customWidth="1" min="12" max="12"/>
  </cols>
  <sheetData>
    <row r="1" ht="24" customHeight="1">
      <c r="A1" s="16" t="inlineStr">
        <is>
          <t>All Models vs Team Forecasts — FY26 Q2</t>
        </is>
      </c>
    </row>
    <row r="2" ht="30" customHeight="1">
      <c r="A2" s="2" t="inlineStr">
        <is>
          <t>#</t>
        </is>
      </c>
      <c r="B2" s="2" t="inlineStr">
        <is>
          <t>Product</t>
        </is>
      </c>
      <c r="C2" s="2" t="inlineStr">
        <is>
          <t>Life Cycle</t>
        </is>
      </c>
      <c r="D2" s="2" t="inlineStr">
        <is>
          <t>WMA</t>
        </is>
      </c>
      <c r="E2" s="2" t="inlineStr">
        <is>
          <t>SES</t>
        </is>
      </c>
      <c r="F2" s="2" t="inlineStr">
        <is>
          <t>Holt</t>
        </is>
      </c>
      <c r="G2" s="2" t="inlineStr">
        <is>
          <t>Lin Reg</t>
        </is>
      </c>
      <c r="H2" s="2" t="inlineStr">
        <is>
          <t>OUR FINAL</t>
        </is>
      </c>
      <c r="I2" s="2" t="inlineStr">
        <is>
          <t>Demand Planner</t>
        </is>
      </c>
      <c r="J2" s="2" t="inlineStr">
        <is>
          <t>Marketing</t>
        </is>
      </c>
      <c r="K2" s="2" t="inlineStr">
        <is>
          <t>Data Science</t>
        </is>
      </c>
      <c r="L2" s="2" t="inlineStr">
        <is>
          <t>BT MAPE</t>
        </is>
      </c>
    </row>
    <row r="3">
      <c r="A3" s="3" t="n">
        <v>1</v>
      </c>
      <c r="B3" s="4" t="inlineStr">
        <is>
          <t>SWITCH Enterprise 48-Port UPOE</t>
        </is>
      </c>
      <c r="C3" s="3" t="inlineStr">
        <is>
          <t>Sustaining</t>
        </is>
      </c>
      <c r="D3" s="5" t="n">
        <v>14506</v>
      </c>
      <c r="E3" s="5" t="n">
        <v>14289</v>
      </c>
      <c r="F3" s="5" t="n">
        <v>12498</v>
      </c>
      <c r="G3" s="5" t="n">
        <v>13938</v>
      </c>
      <c r="H3" s="17" t="n">
        <v>15082</v>
      </c>
      <c r="I3" s="5" t="n">
        <v>15052.1018815005</v>
      </c>
      <c r="J3" s="5" t="n">
        <v>14795.3060689996</v>
      </c>
      <c r="K3" s="5" t="n">
        <v>17011.0000000005</v>
      </c>
      <c r="L3" s="6" t="n">
        <v>17.2</v>
      </c>
    </row>
    <row r="4">
      <c r="A4" s="9" t="n">
        <v>2</v>
      </c>
      <c r="B4" s="10" t="inlineStr">
        <is>
          <t>WIRELESS ACCESS POINT WiFi6E (Internal Antenna) Indoor</t>
        </is>
      </c>
      <c r="C4" s="9" t="inlineStr">
        <is>
          <t>Sustaining</t>
        </is>
      </c>
      <c r="D4" s="11" t="n">
        <v>56405</v>
      </c>
      <c r="E4" s="11" t="n">
        <v>54115</v>
      </c>
      <c r="F4" s="11" t="n">
        <v>55647</v>
      </c>
      <c r="G4" s="11" t="n">
        <v>64178</v>
      </c>
      <c r="H4" s="17" t="n">
        <v>66401</v>
      </c>
      <c r="I4" s="11" t="n">
        <v>79000.0000000002</v>
      </c>
      <c r="J4" s="11" t="n">
        <v>66274.81570999981</v>
      </c>
      <c r="K4" s="11" t="n">
        <v>79114.0000000001</v>
      </c>
      <c r="L4" s="12" t="n">
        <v>26.3</v>
      </c>
    </row>
    <row r="5">
      <c r="A5" s="3" t="n">
        <v>3</v>
      </c>
      <c r="B5" s="4" t="inlineStr">
        <is>
          <t>SWITCH Core 25G/100G Fiber</t>
        </is>
      </c>
      <c r="C5" s="3" t="inlineStr">
        <is>
          <t>Sustaining</t>
        </is>
      </c>
      <c r="D5" s="5" t="n">
        <v>6240</v>
      </c>
      <c r="E5" s="5" t="n">
        <v>6306</v>
      </c>
      <c r="F5" s="5" t="n">
        <v>6887</v>
      </c>
      <c r="G5" s="5" t="n">
        <v>6355</v>
      </c>
      <c r="H5" s="17" t="n">
        <v>7398</v>
      </c>
      <c r="I5" s="5" t="n">
        <v>6620.9626049259</v>
      </c>
      <c r="J5" s="5" t="n">
        <v>6739.9076169999</v>
      </c>
      <c r="K5" s="5" t="n">
        <v>7861.0000000003</v>
      </c>
      <c r="L5" s="6" t="n">
        <v>1.6</v>
      </c>
    </row>
    <row r="6">
      <c r="A6" s="9" t="n">
        <v>4</v>
      </c>
      <c r="B6" s="10" t="inlineStr">
        <is>
          <t>SWITCH Enterprise 24-Port PoE+</t>
        </is>
      </c>
      <c r="C6" s="9" t="inlineStr">
        <is>
          <t>Sustaining</t>
        </is>
      </c>
      <c r="D6" s="11" t="n">
        <v>8688</v>
      </c>
      <c r="E6" s="11" t="n">
        <v>8743</v>
      </c>
      <c r="F6" s="11" t="n">
        <v>8646</v>
      </c>
      <c r="G6" s="11" t="n">
        <v>8060</v>
      </c>
      <c r="H6" s="17" t="n">
        <v>8818</v>
      </c>
      <c r="I6" s="11" t="n">
        <v>9200.4381182005</v>
      </c>
      <c r="J6" s="11" t="n">
        <v>10383.999801</v>
      </c>
      <c r="K6" s="11" t="n">
        <v>9788.9999999995</v>
      </c>
      <c r="L6" s="12" t="n">
        <v>2.6</v>
      </c>
    </row>
    <row r="7">
      <c r="A7" s="3" t="n">
        <v>5</v>
      </c>
      <c r="B7" s="4" t="inlineStr">
        <is>
          <t>WIRELESS ACCESS POINT WiFi6 (Internal Antenna) Indoor</t>
        </is>
      </c>
      <c r="C7" s="3" t="inlineStr">
        <is>
          <t>Sustaining</t>
        </is>
      </c>
      <c r="D7" s="5" t="n">
        <v>38992</v>
      </c>
      <c r="E7" s="5" t="n">
        <v>35614</v>
      </c>
      <c r="F7" s="5" t="n">
        <v>31406</v>
      </c>
      <c r="G7" s="5" t="n">
        <v>30515</v>
      </c>
      <c r="H7" s="17" t="n">
        <v>44305</v>
      </c>
      <c r="I7" s="5" t="n">
        <v>35587.9999999998</v>
      </c>
      <c r="J7" s="5" t="n">
        <v>44460.2467200002</v>
      </c>
      <c r="K7" s="5" t="n">
        <v>49531.999999999</v>
      </c>
      <c r="L7" s="6" t="n">
        <v>2.8</v>
      </c>
    </row>
    <row r="8">
      <c r="A8" s="9" t="n">
        <v>6</v>
      </c>
      <c r="B8" s="10" t="inlineStr">
        <is>
          <t>ROUTER Core Modular Chassis</t>
        </is>
      </c>
      <c r="C8" s="9" t="inlineStr">
        <is>
          <t>NPI-Ramp</t>
        </is>
      </c>
      <c r="D8" s="11" t="n">
        <v>508</v>
      </c>
      <c r="E8" s="11" t="n">
        <v>316</v>
      </c>
      <c r="F8" s="11" t="n">
        <v>386</v>
      </c>
      <c r="G8" s="11" t="n">
        <v>738</v>
      </c>
      <c r="H8" s="17" t="n">
        <v>537</v>
      </c>
      <c r="I8" s="11" t="n">
        <v>1040.8</v>
      </c>
      <c r="J8" s="11" t="n">
        <v>624.0000000001</v>
      </c>
      <c r="K8" s="11" t="n">
        <v>461.0000000003</v>
      </c>
      <c r="L8" s="12" t="n">
        <v>38.7</v>
      </c>
    </row>
    <row r="9">
      <c r="A9" s="3" t="n">
        <v>7</v>
      </c>
      <c r="B9" s="4" t="inlineStr">
        <is>
          <t>SWITCH Enterprise 48-Port Fiber (Non-PoE)</t>
        </is>
      </c>
      <c r="C9" s="3" t="inlineStr">
        <is>
          <t>Sustaining</t>
        </is>
      </c>
      <c r="D9" s="5" t="n">
        <v>2515</v>
      </c>
      <c r="E9" s="5" t="n">
        <v>2392</v>
      </c>
      <c r="F9" s="5" t="n">
        <v>2561</v>
      </c>
      <c r="G9" s="5" t="n">
        <v>2609</v>
      </c>
      <c r="H9" s="17" t="n">
        <v>2648</v>
      </c>
      <c r="I9" s="5" t="n">
        <v>2007.7193700178</v>
      </c>
      <c r="J9" s="5" t="n">
        <v>2329.1903534004</v>
      </c>
      <c r="K9" s="5" t="n">
        <v>1968.0000000005</v>
      </c>
      <c r="L9" s="6" t="n">
        <v>19.3</v>
      </c>
    </row>
    <row r="10">
      <c r="A10" s="9" t="n">
        <v>8</v>
      </c>
      <c r="B10" s="10" t="inlineStr">
        <is>
          <t>SWITCH Enterprise 25G Fiber</t>
        </is>
      </c>
      <c r="C10" s="9" t="inlineStr">
        <is>
          <t>Sustaining</t>
        </is>
      </c>
      <c r="D10" s="11" t="n">
        <v>3266</v>
      </c>
      <c r="E10" s="11" t="n">
        <v>3256</v>
      </c>
      <c r="F10" s="11" t="n">
        <v>3598</v>
      </c>
      <c r="G10" s="11" t="n">
        <v>3477</v>
      </c>
      <c r="H10" s="17" t="n">
        <v>3743</v>
      </c>
      <c r="I10" s="11" t="n">
        <v>3035.0406514272</v>
      </c>
      <c r="J10" s="11" t="n">
        <v>3362.0419000001</v>
      </c>
      <c r="K10" s="11" t="n">
        <v>2868.0000000001</v>
      </c>
      <c r="L10" s="12" t="n">
        <v>3.5</v>
      </c>
    </row>
    <row r="11">
      <c r="A11" s="3" t="n">
        <v>9</v>
      </c>
      <c r="B11" s="4" t="inlineStr">
        <is>
          <t>SWITCH Enterprise 24-Port UPOE</t>
        </is>
      </c>
      <c r="C11" s="3" t="inlineStr">
        <is>
          <t>Sustaining</t>
        </is>
      </c>
      <c r="D11" s="5" t="n">
        <v>2711</v>
      </c>
      <c r="E11" s="5" t="n">
        <v>2638</v>
      </c>
      <c r="F11" s="5" t="n">
        <v>2952</v>
      </c>
      <c r="G11" s="5" t="n">
        <v>2285</v>
      </c>
      <c r="H11" s="17" t="n">
        <v>3220</v>
      </c>
      <c r="I11" s="5" t="n">
        <v>2754.8987971</v>
      </c>
      <c r="J11" s="5" t="n">
        <v>2894.3413724999</v>
      </c>
      <c r="K11" s="5" t="n">
        <v>2463.0000000002</v>
      </c>
      <c r="L11" s="6" t="n">
        <v>12.1</v>
      </c>
    </row>
    <row r="12">
      <c r="A12" s="9" t="n">
        <v>10</v>
      </c>
      <c r="B12" s="10" t="inlineStr">
        <is>
          <t>ROUTER Enterprise Edge 10G/40G</t>
        </is>
      </c>
      <c r="C12" s="9" t="inlineStr">
        <is>
          <t>Decline</t>
        </is>
      </c>
      <c r="D12" s="11" t="n">
        <v>504</v>
      </c>
      <c r="E12" s="11" t="n">
        <v>499</v>
      </c>
      <c r="F12" s="11" t="n">
        <v>508</v>
      </c>
      <c r="G12" s="11" t="n">
        <v>535</v>
      </c>
      <c r="H12" s="17" t="n">
        <v>557</v>
      </c>
      <c r="I12" s="11" t="n">
        <v>430.9999999998</v>
      </c>
      <c r="J12" s="11" t="n">
        <v>349.9999999899</v>
      </c>
      <c r="K12" s="11" t="n">
        <v>732.0000000002</v>
      </c>
      <c r="L12" s="12" t="n">
        <v>5.3</v>
      </c>
    </row>
    <row r="13">
      <c r="A13" s="3" t="n">
        <v>11</v>
      </c>
      <c r="B13" s="4" t="inlineStr">
        <is>
          <t>SECURITY FIREWALL Next-Generation_2</t>
        </is>
      </c>
      <c r="C13" s="3" t="inlineStr">
        <is>
          <t>Sustaining</t>
        </is>
      </c>
      <c r="D13" s="5" t="n">
        <v>285</v>
      </c>
      <c r="E13" s="5" t="n">
        <v>267</v>
      </c>
      <c r="F13" s="5" t="n">
        <v>285</v>
      </c>
      <c r="G13" s="5" t="n">
        <v>275</v>
      </c>
      <c r="H13" s="17" t="n">
        <v>267</v>
      </c>
      <c r="I13" s="5" t="n">
        <v>309.9993800009</v>
      </c>
      <c r="J13" s="5" t="n">
        <v>321.4680000003</v>
      </c>
      <c r="K13" s="5" t="n">
        <v>252</v>
      </c>
      <c r="L13" s="6" t="n">
        <v>8.6</v>
      </c>
    </row>
    <row r="14">
      <c r="A14" s="9" t="n">
        <v>12</v>
      </c>
      <c r="B14" s="10" t="inlineStr">
        <is>
          <t>WIRELESS ACCESS POINT WiFi6 (External Antenna) Outdoor</t>
        </is>
      </c>
      <c r="C14" s="9" t="inlineStr">
        <is>
          <t>Sustaining</t>
        </is>
      </c>
      <c r="D14" s="11" t="n">
        <v>4120</v>
      </c>
      <c r="E14" s="11" t="n">
        <v>4610</v>
      </c>
      <c r="F14" s="11" t="n">
        <v>3861</v>
      </c>
      <c r="G14" s="11" t="n">
        <v>4107</v>
      </c>
      <c r="H14" s="17" t="n">
        <v>4054</v>
      </c>
      <c r="I14" s="11" t="n">
        <v>4717</v>
      </c>
      <c r="J14" s="11" t="n">
        <v>4934.4824850002</v>
      </c>
      <c r="K14" s="11" t="n">
        <v>4940.0000000001</v>
      </c>
      <c r="L14" s="12" t="n">
        <v>17</v>
      </c>
    </row>
    <row r="15">
      <c r="A15" s="3" t="n">
        <v>13</v>
      </c>
      <c r="B15" s="4" t="inlineStr">
        <is>
          <t>SWITCH Core 100G Fiber</t>
        </is>
      </c>
      <c r="C15" s="3" t="inlineStr">
        <is>
          <t>Sustaining</t>
        </is>
      </c>
      <c r="D15" s="5" t="n">
        <v>587</v>
      </c>
      <c r="E15" s="5" t="n">
        <v>583</v>
      </c>
      <c r="F15" s="5" t="n">
        <v>568</v>
      </c>
      <c r="G15" s="5" t="n">
        <v>670</v>
      </c>
      <c r="H15" s="17" t="n">
        <v>655</v>
      </c>
      <c r="I15" s="5" t="n">
        <v>699.9985957882</v>
      </c>
      <c r="J15" s="5" t="n">
        <v>1215.0918129998</v>
      </c>
      <c r="K15" s="5" t="n">
        <v>562.9999999999</v>
      </c>
      <c r="L15" s="6" t="n">
        <v>21.2</v>
      </c>
    </row>
    <row r="16">
      <c r="A16" s="9" t="n">
        <v>14</v>
      </c>
      <c r="B16" s="10" t="inlineStr">
        <is>
          <t>WIRELESS ACCESS POINT WiFi6E (External Antenna) Outdoor</t>
        </is>
      </c>
      <c r="C16" s="9" t="inlineStr">
        <is>
          <t>Sustaining</t>
        </is>
      </c>
      <c r="D16" s="11" t="n">
        <v>4554</v>
      </c>
      <c r="E16" s="11" t="n">
        <v>4336</v>
      </c>
      <c r="F16" s="11" t="n">
        <v>5790</v>
      </c>
      <c r="G16" s="11" t="n">
        <v>6176</v>
      </c>
      <c r="H16" s="17" t="n">
        <v>5653</v>
      </c>
      <c r="I16" s="11" t="n">
        <v>6389.9999999998</v>
      </c>
      <c r="J16" s="11" t="n">
        <v>5927.1514880002</v>
      </c>
      <c r="K16" s="11" t="n">
        <v>9905.0000000005</v>
      </c>
      <c r="L16" s="12" t="n">
        <v>15</v>
      </c>
    </row>
    <row r="17">
      <c r="A17" s="3" t="n">
        <v>15</v>
      </c>
      <c r="B17" s="4" t="inlineStr">
        <is>
          <t>SECURITY FIREWALL Next-Generation_1</t>
        </is>
      </c>
      <c r="C17" s="3" t="inlineStr">
        <is>
          <t>Sustaining</t>
        </is>
      </c>
      <c r="D17" s="5" t="n">
        <v>333</v>
      </c>
      <c r="E17" s="5" t="n">
        <v>308</v>
      </c>
      <c r="F17" s="5" t="n">
        <v>339</v>
      </c>
      <c r="G17" s="5" t="n">
        <v>337</v>
      </c>
      <c r="H17" s="17" t="n">
        <v>342</v>
      </c>
      <c r="I17" s="5" t="n">
        <v>319.9993600012</v>
      </c>
      <c r="J17" s="5" t="n">
        <v>323.0473425401</v>
      </c>
      <c r="K17" s="5" t="n">
        <v>265</v>
      </c>
      <c r="L17" s="6" t="n">
        <v>1.7</v>
      </c>
    </row>
    <row r="18">
      <c r="A18" s="9" t="n">
        <v>16</v>
      </c>
      <c r="B18" s="10" t="inlineStr">
        <is>
          <t>SWITCH Enterprise 48-Port PoE+ with 10G Uplink</t>
        </is>
      </c>
      <c r="C18" s="9" t="inlineStr">
        <is>
          <t>Sustaining</t>
        </is>
      </c>
      <c r="D18" s="11" t="n">
        <v>1663</v>
      </c>
      <c r="E18" s="11" t="n">
        <v>1450</v>
      </c>
      <c r="F18" s="11" t="n">
        <v>1470</v>
      </c>
      <c r="G18" s="11" t="n">
        <v>1540</v>
      </c>
      <c r="H18" s="17" t="n">
        <v>1940</v>
      </c>
      <c r="I18" s="11" t="n">
        <v>1935.4273073012</v>
      </c>
      <c r="J18" s="11" t="n">
        <v>2357.7433146</v>
      </c>
      <c r="K18" s="11" t="n">
        <v>2945.0000000004</v>
      </c>
      <c r="L18" s="12" t="n">
        <v>1.6</v>
      </c>
    </row>
    <row r="19">
      <c r="A19" s="3" t="n">
        <v>17</v>
      </c>
      <c r="B19" s="4" t="inlineStr">
        <is>
          <t>SWITCH Enterprise 24-Port PoE+ Compact</t>
        </is>
      </c>
      <c r="C19" s="3" t="inlineStr">
        <is>
          <t>Sustaining</t>
        </is>
      </c>
      <c r="D19" s="5" t="n">
        <v>1307</v>
      </c>
      <c r="E19" s="5" t="n">
        <v>1251</v>
      </c>
      <c r="F19" s="5" t="n">
        <v>1388</v>
      </c>
      <c r="G19" s="5" t="n">
        <v>1492</v>
      </c>
      <c r="H19" s="17" t="n">
        <v>1439</v>
      </c>
      <c r="I19" s="5" t="n">
        <v>1564.0000000003</v>
      </c>
      <c r="J19" s="5" t="n">
        <v>843.1944599999</v>
      </c>
      <c r="K19" s="5" t="n">
        <v>1714.9999999998</v>
      </c>
      <c r="L19" s="6" t="n">
        <v>3.8</v>
      </c>
    </row>
    <row r="20">
      <c r="A20" s="9" t="n">
        <v>18</v>
      </c>
      <c r="B20" s="10" t="inlineStr">
        <is>
          <t>SWITCH Data Center 25G/100G Leaf</t>
        </is>
      </c>
      <c r="C20" s="9" t="inlineStr">
        <is>
          <t>Sustaining</t>
        </is>
      </c>
      <c r="D20" s="11" t="n">
        <v>884</v>
      </c>
      <c r="E20" s="11" t="n">
        <v>839</v>
      </c>
      <c r="F20" s="11" t="n">
        <v>909</v>
      </c>
      <c r="G20" s="11" t="n">
        <v>1104</v>
      </c>
      <c r="H20" s="17" t="n">
        <v>981</v>
      </c>
      <c r="I20" s="11" t="n">
        <v>815.0000000003</v>
      </c>
      <c r="J20" s="11" t="n">
        <v>758.2803001002</v>
      </c>
      <c r="K20" s="11" t="n">
        <v>1014.0000000002</v>
      </c>
      <c r="L20" s="12" t="n">
        <v>32.6</v>
      </c>
    </row>
    <row r="21">
      <c r="A21" s="3" t="n">
        <v>19</v>
      </c>
      <c r="B21" s="4" t="inlineStr">
        <is>
          <t>WIRELESS ACCESS POINT WiFi6 (External Antenna) Indoor</t>
        </is>
      </c>
      <c r="C21" s="3" t="inlineStr">
        <is>
          <t>Sustaining</t>
        </is>
      </c>
      <c r="D21" s="5" t="n">
        <v>7053</v>
      </c>
      <c r="E21" s="5" t="n">
        <v>6617</v>
      </c>
      <c r="F21" s="5" t="n">
        <v>6286</v>
      </c>
      <c r="G21" s="5" t="n">
        <v>5171</v>
      </c>
      <c r="H21" s="17" t="n">
        <v>7448</v>
      </c>
      <c r="I21" s="5" t="n">
        <v>7008.9999999996</v>
      </c>
      <c r="J21" s="5" t="n">
        <v>3399.9487067994</v>
      </c>
      <c r="K21" s="5" t="n">
        <v>9958.0000000001</v>
      </c>
      <c r="L21" s="6" t="n">
        <v>3</v>
      </c>
    </row>
    <row r="22">
      <c r="A22" s="9" t="n">
        <v>20</v>
      </c>
      <c r="B22" s="10" t="inlineStr">
        <is>
          <t>SWITCH Data Center 100G Spine</t>
        </is>
      </c>
      <c r="C22" s="9" t="inlineStr">
        <is>
          <t>Decline</t>
        </is>
      </c>
      <c r="D22" s="11" t="n">
        <v>442</v>
      </c>
      <c r="E22" s="11" t="n">
        <v>389</v>
      </c>
      <c r="F22" s="11" t="n">
        <v>354</v>
      </c>
      <c r="G22" s="11" t="n">
        <v>575</v>
      </c>
      <c r="H22" s="17" t="n">
        <v>433</v>
      </c>
      <c r="I22" s="11" t="n">
        <v>400.0000000001</v>
      </c>
      <c r="J22" s="11" t="n">
        <v>303.3121199903</v>
      </c>
      <c r="K22" s="11" t="n">
        <v>494.0000000001</v>
      </c>
      <c r="L22" s="12" t="n">
        <v>15.3</v>
      </c>
    </row>
    <row r="23">
      <c r="A23" s="3" t="n">
        <v>21</v>
      </c>
      <c r="B23" s="4" t="inlineStr">
        <is>
          <t>SWITCH Core 100G/400G Fiber</t>
        </is>
      </c>
      <c r="C23" s="3" t="inlineStr">
        <is>
          <t>Sustaining</t>
        </is>
      </c>
      <c r="D23" s="5" t="n">
        <v>209</v>
      </c>
      <c r="E23" s="5" t="n">
        <v>205</v>
      </c>
      <c r="F23" s="5" t="n">
        <v>246</v>
      </c>
      <c r="G23" s="5" t="n">
        <v>216</v>
      </c>
      <c r="H23" s="17" t="n">
        <v>256</v>
      </c>
      <c r="I23" s="5" t="n">
        <v>219.2481321874</v>
      </c>
      <c r="J23" s="5" t="n">
        <v>151.2378326298</v>
      </c>
      <c r="K23" s="5" t="n">
        <v>306.9999999998</v>
      </c>
      <c r="L23" s="6" t="n">
        <v>7.5</v>
      </c>
    </row>
    <row r="24">
      <c r="A24" s="9" t="n">
        <v>22</v>
      </c>
      <c r="B24" s="10" t="inlineStr">
        <is>
          <t>IP PHONE Enterprise Desk</t>
        </is>
      </c>
      <c r="C24" s="9" t="inlineStr">
        <is>
          <t>Decline</t>
        </is>
      </c>
      <c r="D24" s="11" t="n">
        <v>13507</v>
      </c>
      <c r="E24" s="11" t="n">
        <v>13031</v>
      </c>
      <c r="F24" s="11" t="n">
        <v>7714</v>
      </c>
      <c r="G24" s="11" t="n">
        <v>8756</v>
      </c>
      <c r="H24" s="17" t="n">
        <v>13220</v>
      </c>
      <c r="I24" s="11" t="n">
        <v>9259.9999999998</v>
      </c>
      <c r="J24" s="11" t="n">
        <v>8703.047614823399</v>
      </c>
      <c r="K24" s="11" t="n">
        <v>20294.9999999996</v>
      </c>
      <c r="L24" s="12" t="n">
        <v>39.9</v>
      </c>
    </row>
    <row r="25">
      <c r="A25" s="3" t="n">
        <v>23</v>
      </c>
      <c r="B25" s="4" t="inlineStr">
        <is>
          <t>ROUTER Branch 4-Port PoE</t>
        </is>
      </c>
      <c r="C25" s="3" t="inlineStr">
        <is>
          <t>Decline</t>
        </is>
      </c>
      <c r="D25" s="5" t="n">
        <v>4326</v>
      </c>
      <c r="E25" s="5" t="n">
        <v>4990</v>
      </c>
      <c r="F25" s="5" t="n">
        <v>3837</v>
      </c>
      <c r="G25" s="5" t="n">
        <v>3635</v>
      </c>
      <c r="H25" s="17" t="n">
        <v>5932</v>
      </c>
      <c r="I25" s="5" t="n">
        <v>6410.9999999999</v>
      </c>
      <c r="J25" s="5" t="n">
        <v>4200.0000000001</v>
      </c>
      <c r="K25" s="5" t="n">
        <v>6766.9999999999</v>
      </c>
      <c r="L25" s="6" t="n">
        <v>7.3</v>
      </c>
    </row>
    <row r="26">
      <c r="A26" s="9" t="n">
        <v>24</v>
      </c>
      <c r="B26" s="10" t="inlineStr">
        <is>
          <t>SWITCH Industrial 8-Port PoE</t>
        </is>
      </c>
      <c r="C26" s="9" t="inlineStr">
        <is>
          <t>Sustaining</t>
        </is>
      </c>
      <c r="D26" s="11" t="n">
        <v>2289</v>
      </c>
      <c r="E26" s="11" t="n">
        <v>2132</v>
      </c>
      <c r="F26" s="11" t="n">
        <v>2029</v>
      </c>
      <c r="G26" s="11" t="n">
        <v>2269</v>
      </c>
      <c r="H26" s="17" t="n">
        <v>3069</v>
      </c>
      <c r="I26" s="11" t="n">
        <v>3123.0000000002</v>
      </c>
      <c r="J26" s="11" t="n">
        <v>2499</v>
      </c>
      <c r="K26" s="11" t="n">
        <v>2323</v>
      </c>
      <c r="L26" s="12" t="n">
        <v>20.7</v>
      </c>
    </row>
    <row r="27">
      <c r="A27" s="3" t="n">
        <v>25</v>
      </c>
      <c r="B27" s="4" t="inlineStr">
        <is>
          <t>IP CONFERENCE PHONE</t>
        </is>
      </c>
      <c r="C27" s="3" t="inlineStr">
        <is>
          <t>Decline</t>
        </is>
      </c>
      <c r="D27" s="5" t="n">
        <v>3219</v>
      </c>
      <c r="E27" s="5" t="n">
        <v>3698</v>
      </c>
      <c r="F27" s="5" t="n">
        <v>2175</v>
      </c>
      <c r="G27" s="5" t="n">
        <v>3362</v>
      </c>
      <c r="H27" s="17" t="n">
        <v>2933</v>
      </c>
      <c r="I27" s="5" t="n">
        <v>3871.9999999999</v>
      </c>
      <c r="J27" s="5" t="n">
        <v>4243.8746115275</v>
      </c>
      <c r="K27" s="5" t="n">
        <v>4009.0000000004</v>
      </c>
      <c r="L27" s="6" t="n">
        <v>70.2</v>
      </c>
    </row>
    <row r="28">
      <c r="A28" s="9" t="n">
        <v>26</v>
      </c>
      <c r="B28" s="10" t="inlineStr">
        <is>
          <t>SWITCH Industrial 8-Port PoE Compact</t>
        </is>
      </c>
      <c r="C28" s="9" t="inlineStr">
        <is>
          <t>Sustaining</t>
        </is>
      </c>
      <c r="D28" s="11" t="n">
        <v>1273</v>
      </c>
      <c r="E28" s="11" t="n">
        <v>1147</v>
      </c>
      <c r="F28" s="11" t="n">
        <v>1334</v>
      </c>
      <c r="G28" s="11" t="n">
        <v>1317</v>
      </c>
      <c r="H28" s="17" t="n">
        <v>1922</v>
      </c>
      <c r="I28" s="11" t="n">
        <v>1575</v>
      </c>
      <c r="J28" s="11" t="n">
        <v>1574.9999999999</v>
      </c>
      <c r="K28" s="11" t="n">
        <v>1495</v>
      </c>
      <c r="L28" s="12" t="n">
        <v>56.9</v>
      </c>
    </row>
    <row r="29">
      <c r="A29" s="3" t="n">
        <v>27</v>
      </c>
      <c r="B29" s="4" t="inlineStr">
        <is>
          <t>SWITCH Industrial Managed</t>
        </is>
      </c>
      <c r="C29" s="3" t="inlineStr">
        <is>
          <t>Sustaining</t>
        </is>
      </c>
      <c r="D29" s="5" t="n">
        <v>1934</v>
      </c>
      <c r="E29" s="5" t="n">
        <v>1766</v>
      </c>
      <c r="F29" s="5" t="n">
        <v>1722</v>
      </c>
      <c r="G29" s="5" t="n">
        <v>2562</v>
      </c>
      <c r="H29" s="17" t="n">
        <v>2033</v>
      </c>
      <c r="I29" s="5" t="n">
        <v>2221</v>
      </c>
      <c r="J29" s="5" t="n">
        <v>2244.0000000001</v>
      </c>
      <c r="K29" s="5" t="n">
        <v>1782</v>
      </c>
      <c r="L29" s="6" t="n">
        <v>37.4</v>
      </c>
    </row>
    <row r="30">
      <c r="A30" s="9" t="n">
        <v>28</v>
      </c>
      <c r="B30" s="10" t="inlineStr">
        <is>
          <t>ROUTER Edge Aggregation Fiber</t>
        </is>
      </c>
      <c r="C30" s="9" t="inlineStr">
        <is>
          <t>Decline</t>
        </is>
      </c>
      <c r="D30" s="11" t="n">
        <v>739</v>
      </c>
      <c r="E30" s="11" t="n">
        <v>862</v>
      </c>
      <c r="F30" s="11" t="n">
        <v>984</v>
      </c>
      <c r="G30" s="11" t="n">
        <v>957</v>
      </c>
      <c r="H30" s="17" t="n">
        <v>1283</v>
      </c>
      <c r="I30" s="11" t="n">
        <v>700</v>
      </c>
      <c r="J30" s="11" t="n">
        <v>199.9999999998</v>
      </c>
      <c r="K30" s="11" t="n">
        <v>456</v>
      </c>
      <c r="L30" s="12" t="n">
        <v>0.8</v>
      </c>
    </row>
    <row r="31">
      <c r="A31" s="3" t="n">
        <v>29</v>
      </c>
      <c r="B31" s="4" t="inlineStr">
        <is>
          <t>SWITCH Industrial 24-Port PoE</t>
        </is>
      </c>
      <c r="C31" s="3" t="inlineStr">
        <is>
          <t>Sustaining</t>
        </is>
      </c>
      <c r="D31" s="5" t="n">
        <v>362</v>
      </c>
      <c r="E31" s="5" t="n">
        <v>306</v>
      </c>
      <c r="F31" s="5" t="n">
        <v>447</v>
      </c>
      <c r="G31" s="5" t="n">
        <v>445</v>
      </c>
      <c r="H31" s="17" t="n">
        <v>428</v>
      </c>
      <c r="I31" s="5" t="n">
        <v>422.9999999999</v>
      </c>
      <c r="J31" s="5" t="n">
        <v>366.0000000001</v>
      </c>
      <c r="K31" s="5" t="n">
        <v>474</v>
      </c>
      <c r="L31" s="6" t="n">
        <v>21.9</v>
      </c>
    </row>
    <row r="32">
      <c r="A32" s="9" t="n">
        <v>30</v>
      </c>
      <c r="B32" s="10" t="inlineStr">
        <is>
          <t>ROUTER Branch 8-Port PoE</t>
        </is>
      </c>
      <c r="C32" s="9" t="inlineStr">
        <is>
          <t>Sustaining</t>
        </is>
      </c>
      <c r="D32" s="11" t="n">
        <v>972</v>
      </c>
      <c r="E32" s="11" t="n">
        <v>1014</v>
      </c>
      <c r="F32" s="11" t="n">
        <v>986</v>
      </c>
      <c r="G32" s="11" t="n">
        <v>818</v>
      </c>
      <c r="H32" s="17" t="n">
        <v>1344</v>
      </c>
      <c r="I32" s="11" t="n">
        <v>1273.0000000002</v>
      </c>
      <c r="J32" s="11" t="n">
        <v>3699.9999999997</v>
      </c>
      <c r="K32" s="11" t="n">
        <v>1722.0000000005</v>
      </c>
      <c r="L32" s="12" t="n">
        <v>8.6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4" customWidth="1" min="3" max="3"/>
    <col width="7" customWidth="1" min="4" max="4"/>
    <col width="44" customWidth="1" min="5" max="5"/>
    <col width="11" customWidth="1" min="6" max="6"/>
    <col width="11" customWidth="1" min="7" max="7"/>
    <col width="35" customWidth="1" min="8" max="8"/>
  </cols>
  <sheetData>
    <row r="1" ht="24" customHeight="1">
      <c r="A1" s="18" t="inlineStr">
        <is>
          <t>Avg Deal Correlation — Top 30 Pairs (Structural Demand)</t>
        </is>
      </c>
    </row>
    <row r="2" ht="28" customHeight="1">
      <c r="A2" s="19" t="inlineStr">
        <is>
          <t>#</t>
        </is>
      </c>
      <c r="B2" s="19" t="inlineStr">
        <is>
          <t>Rank A</t>
        </is>
      </c>
      <c r="C2" s="19" t="inlineStr">
        <is>
          <t>Product A</t>
        </is>
      </c>
      <c r="D2" s="19" t="inlineStr">
        <is>
          <t>Rank B</t>
        </is>
      </c>
      <c r="E2" s="19" t="inlineStr">
        <is>
          <t>Product B</t>
        </is>
      </c>
      <c r="F2" s="19" t="inlineStr">
        <is>
          <t>Pearson r</t>
        </is>
      </c>
      <c r="G2" s="19" t="inlineStr">
        <is>
          <t>Spearman r</t>
        </is>
      </c>
      <c r="H2" s="19" t="inlineStr">
        <is>
          <t>Interpretation</t>
        </is>
      </c>
    </row>
    <row r="3">
      <c r="A3" s="3" t="n">
        <v>1</v>
      </c>
      <c r="B3" s="3" t="inlineStr">
        <is>
          <t>#6</t>
        </is>
      </c>
      <c r="C3" s="4" t="inlineStr">
        <is>
          <t>ROUTER Core Modular Chassis</t>
        </is>
      </c>
      <c r="D3" s="3" t="inlineStr">
        <is>
          <t>#18</t>
        </is>
      </c>
      <c r="E3" s="4" t="inlineStr">
        <is>
          <t>SWITCH Data Center 25G/100G Leaf</t>
        </is>
      </c>
      <c r="F3" s="20" t="n">
        <v>0.9419999999999999</v>
      </c>
      <c r="G3" s="20" t="n">
        <v>0.611</v>
      </c>
      <c r="H3" s="4" t="inlineStr">
        <is>
          <t>Very Strong Positive — Demand cluster</t>
        </is>
      </c>
    </row>
    <row r="4">
      <c r="A4" s="9" t="n">
        <v>2</v>
      </c>
      <c r="B4" s="9" t="inlineStr">
        <is>
          <t>#8</t>
        </is>
      </c>
      <c r="C4" s="10" t="inlineStr">
        <is>
          <t>SWITCH Enterprise 25G Fiber</t>
        </is>
      </c>
      <c r="D4" s="9" t="inlineStr">
        <is>
          <t>#14</t>
        </is>
      </c>
      <c r="E4" s="10" t="inlineStr">
        <is>
          <t>WIRELESS ACCESS POINT WiFi6E (External Antenna) Outdoor</t>
        </is>
      </c>
      <c r="F4" s="21" t="n">
        <v>0.9389999999999999</v>
      </c>
      <c r="G4" s="21" t="n">
        <v>0.857</v>
      </c>
      <c r="H4" s="10" t="inlineStr">
        <is>
          <t>Very Strong Positive — Demand cluster</t>
        </is>
      </c>
    </row>
    <row r="5">
      <c r="A5" s="3" t="n">
        <v>3</v>
      </c>
      <c r="B5" s="3" t="inlineStr">
        <is>
          <t>#16</t>
        </is>
      </c>
      <c r="C5" s="4" t="inlineStr">
        <is>
          <t>SWITCH Enterprise 48-Port PoE+ with 10G Uplink</t>
        </is>
      </c>
      <c r="D5" s="3" t="inlineStr">
        <is>
          <t>#17</t>
        </is>
      </c>
      <c r="E5" s="4" t="inlineStr">
        <is>
          <t>SWITCH Enterprise 24-Port PoE+ Compact</t>
        </is>
      </c>
      <c r="F5" s="20" t="n">
        <v>0.928</v>
      </c>
      <c r="G5" s="20" t="n">
        <v>0.8100000000000001</v>
      </c>
      <c r="H5" s="4" t="inlineStr">
        <is>
          <t>Very Strong Positive — Demand cluster</t>
        </is>
      </c>
    </row>
    <row r="6">
      <c r="A6" s="9" t="n">
        <v>4</v>
      </c>
      <c r="B6" s="9" t="inlineStr">
        <is>
          <t>#17</t>
        </is>
      </c>
      <c r="C6" s="10" t="inlineStr">
        <is>
          <t>SWITCH Enterprise 24-Port PoE+ Compact</t>
        </is>
      </c>
      <c r="D6" s="9" t="inlineStr">
        <is>
          <t>#29</t>
        </is>
      </c>
      <c r="E6" s="10" t="inlineStr">
        <is>
          <t>SWITCH Industrial 24-Port PoE</t>
        </is>
      </c>
      <c r="F6" s="21" t="n">
        <v>0.926</v>
      </c>
      <c r="G6" s="21" t="n">
        <v>0.952</v>
      </c>
      <c r="H6" s="10" t="inlineStr">
        <is>
          <t>Very Strong Positive — Demand cluster</t>
        </is>
      </c>
    </row>
    <row r="7">
      <c r="A7" s="3" t="n">
        <v>5</v>
      </c>
      <c r="B7" s="3" t="inlineStr">
        <is>
          <t>#8</t>
        </is>
      </c>
      <c r="C7" s="4" t="inlineStr">
        <is>
          <t>SWITCH Enterprise 25G Fiber</t>
        </is>
      </c>
      <c r="D7" s="3" t="inlineStr">
        <is>
          <t>#24</t>
        </is>
      </c>
      <c r="E7" s="4" t="inlineStr">
        <is>
          <t>SWITCH Industrial 8-Port PoE</t>
        </is>
      </c>
      <c r="F7" s="20" t="n">
        <v>0.914</v>
      </c>
      <c r="G7" s="20" t="n">
        <v>0.762</v>
      </c>
      <c r="H7" s="4" t="inlineStr">
        <is>
          <t>Very Strong Positive — Demand cluster</t>
        </is>
      </c>
    </row>
    <row r="8">
      <c r="A8" s="9" t="n">
        <v>6</v>
      </c>
      <c r="B8" s="9" t="inlineStr">
        <is>
          <t>#2</t>
        </is>
      </c>
      <c r="C8" s="10" t="inlineStr">
        <is>
          <t>WIRELESS ACCESS POINT WiFi6E (Internal Antenna) Indoor</t>
        </is>
      </c>
      <c r="D8" s="9" t="inlineStr">
        <is>
          <t>#10</t>
        </is>
      </c>
      <c r="E8" s="10" t="inlineStr">
        <is>
          <t>ROUTER Enterprise Edge 10G/40G</t>
        </is>
      </c>
      <c r="F8" s="21" t="n">
        <v>0.898</v>
      </c>
      <c r="G8" s="21" t="n">
        <v>0.833</v>
      </c>
      <c r="H8" s="10" t="inlineStr">
        <is>
          <t>Very Strong Positive — Demand cluster</t>
        </is>
      </c>
    </row>
    <row r="9">
      <c r="A9" s="22" t="n">
        <v>7</v>
      </c>
      <c r="B9" s="22" t="inlineStr">
        <is>
          <t>#17</t>
        </is>
      </c>
      <c r="C9" s="23" t="inlineStr">
        <is>
          <t>SWITCH Enterprise 24-Port PoE+ Compact</t>
        </is>
      </c>
      <c r="D9" s="22" t="inlineStr">
        <is>
          <t>#22</t>
        </is>
      </c>
      <c r="E9" s="23" t="inlineStr">
        <is>
          <t>IP PHONE Enterprise Desk</t>
        </is>
      </c>
      <c r="F9" s="24" t="n">
        <v>-0.894</v>
      </c>
      <c r="G9" s="24" t="n">
        <v>-0.786</v>
      </c>
      <c r="H9" s="23" t="inlineStr">
        <is>
          <t>Very Strong Negative — Competing budget</t>
        </is>
      </c>
    </row>
    <row r="10">
      <c r="A10" s="9" t="n">
        <v>8</v>
      </c>
      <c r="B10" s="9" t="inlineStr">
        <is>
          <t>#8</t>
        </is>
      </c>
      <c r="C10" s="10" t="inlineStr">
        <is>
          <t>SWITCH Enterprise 25G Fiber</t>
        </is>
      </c>
      <c r="D10" s="9" t="inlineStr">
        <is>
          <t>#9</t>
        </is>
      </c>
      <c r="E10" s="10" t="inlineStr">
        <is>
          <t>SWITCH Enterprise 24-Port UPOE</t>
        </is>
      </c>
      <c r="F10" s="21" t="n">
        <v>0.888</v>
      </c>
      <c r="G10" s="21" t="n">
        <v>0.833</v>
      </c>
      <c r="H10" s="10" t="inlineStr">
        <is>
          <t>Very Strong Positive — Demand cluster</t>
        </is>
      </c>
    </row>
    <row r="11">
      <c r="A11" s="3" t="n">
        <v>9</v>
      </c>
      <c r="B11" s="3" t="inlineStr">
        <is>
          <t>#3</t>
        </is>
      </c>
      <c r="C11" s="4" t="inlineStr">
        <is>
          <t>SWITCH Core 25G/100G Fiber</t>
        </is>
      </c>
      <c r="D11" s="3" t="inlineStr">
        <is>
          <t>#21</t>
        </is>
      </c>
      <c r="E11" s="4" t="inlineStr">
        <is>
          <t>SWITCH Core 100G/400G Fiber</t>
        </is>
      </c>
      <c r="F11" s="20" t="n">
        <v>0.887</v>
      </c>
      <c r="G11" s="20" t="n">
        <v>0.952</v>
      </c>
      <c r="H11" s="4" t="inlineStr">
        <is>
          <t>Very Strong Positive — Demand cluster</t>
        </is>
      </c>
    </row>
    <row r="12">
      <c r="A12" s="9" t="n">
        <v>10</v>
      </c>
      <c r="B12" s="9" t="inlineStr">
        <is>
          <t>#9</t>
        </is>
      </c>
      <c r="C12" s="10" t="inlineStr">
        <is>
          <t>SWITCH Enterprise 24-Port UPOE</t>
        </is>
      </c>
      <c r="D12" s="9" t="inlineStr">
        <is>
          <t>#14</t>
        </is>
      </c>
      <c r="E12" s="10" t="inlineStr">
        <is>
          <t>WIRELESS ACCESS POINT WiFi6E (External Antenna) Outdoor</t>
        </is>
      </c>
      <c r="F12" s="21" t="n">
        <v>0.885</v>
      </c>
      <c r="G12" s="21" t="n">
        <v>0.881</v>
      </c>
      <c r="H12" s="10" t="inlineStr">
        <is>
          <t>Very Strong Positive — Demand cluster</t>
        </is>
      </c>
    </row>
    <row r="13">
      <c r="A13" s="3" t="n">
        <v>11</v>
      </c>
      <c r="B13" s="3" t="inlineStr">
        <is>
          <t>#3</t>
        </is>
      </c>
      <c r="C13" s="4" t="inlineStr">
        <is>
          <t>SWITCH Core 25G/100G Fiber</t>
        </is>
      </c>
      <c r="D13" s="3" t="inlineStr">
        <is>
          <t>#8</t>
        </is>
      </c>
      <c r="E13" s="4" t="inlineStr">
        <is>
          <t>SWITCH Enterprise 25G Fiber</t>
        </is>
      </c>
      <c r="F13" s="20" t="n">
        <v>0.881</v>
      </c>
      <c r="G13" s="20" t="n">
        <v>0.905</v>
      </c>
      <c r="H13" s="4" t="inlineStr">
        <is>
          <t>Very Strong Positive — Demand cluster</t>
        </is>
      </c>
    </row>
    <row r="14">
      <c r="A14" s="9" t="n">
        <v>12</v>
      </c>
      <c r="B14" s="9" t="inlineStr">
        <is>
          <t>#14</t>
        </is>
      </c>
      <c r="C14" s="10" t="inlineStr">
        <is>
          <t>WIRELESS ACCESS POINT WiFi6E (External Antenna) Outdoor</t>
        </is>
      </c>
      <c r="D14" s="9" t="inlineStr">
        <is>
          <t>#24</t>
        </is>
      </c>
      <c r="E14" s="10" t="inlineStr">
        <is>
          <t>SWITCH Industrial 8-Port PoE</t>
        </is>
      </c>
      <c r="F14" s="21" t="n">
        <v>0.881</v>
      </c>
      <c r="G14" s="21" t="n">
        <v>0.786</v>
      </c>
      <c r="H14" s="10" t="inlineStr">
        <is>
          <t>Very Strong Positive — Demand cluster</t>
        </is>
      </c>
    </row>
    <row r="15">
      <c r="A15" s="3" t="n">
        <v>13</v>
      </c>
      <c r="B15" s="3" t="inlineStr">
        <is>
          <t>#3</t>
        </is>
      </c>
      <c r="C15" s="4" t="inlineStr">
        <is>
          <t>SWITCH Core 25G/100G Fiber</t>
        </is>
      </c>
      <c r="D15" s="3" t="inlineStr">
        <is>
          <t>#14</t>
        </is>
      </c>
      <c r="E15" s="4" t="inlineStr">
        <is>
          <t>WIRELESS ACCESS POINT WiFi6E (External Antenna) Outdoor</t>
        </is>
      </c>
      <c r="F15" s="20" t="n">
        <v>0.877</v>
      </c>
      <c r="G15" s="20" t="n">
        <v>0.929</v>
      </c>
      <c r="H15" s="4" t="inlineStr">
        <is>
          <t>Very Strong Positive — Demand cluster</t>
        </is>
      </c>
    </row>
    <row r="16">
      <c r="A16" s="9" t="n">
        <v>14</v>
      </c>
      <c r="B16" s="9" t="inlineStr">
        <is>
          <t>#18</t>
        </is>
      </c>
      <c r="C16" s="10" t="inlineStr">
        <is>
          <t>SWITCH Data Center 25G/100G Leaf</t>
        </is>
      </c>
      <c r="D16" s="9" t="inlineStr">
        <is>
          <t>#26</t>
        </is>
      </c>
      <c r="E16" s="10" t="inlineStr">
        <is>
          <t>SWITCH Industrial 8-Port PoE Compact</t>
        </is>
      </c>
      <c r="F16" s="21" t="n">
        <v>0.874</v>
      </c>
      <c r="G16" s="21" t="n">
        <v>0.595</v>
      </c>
      <c r="H16" s="10" t="inlineStr">
        <is>
          <t>Very Strong Positive — Demand cluster</t>
        </is>
      </c>
    </row>
    <row r="17">
      <c r="A17" s="22" t="n">
        <v>15</v>
      </c>
      <c r="B17" s="22" t="inlineStr">
        <is>
          <t>#16</t>
        </is>
      </c>
      <c r="C17" s="23" t="inlineStr">
        <is>
          <t>SWITCH Enterprise 48-Port PoE+ with 10G Uplink</t>
        </is>
      </c>
      <c r="D17" s="22" t="inlineStr">
        <is>
          <t>#22</t>
        </is>
      </c>
      <c r="E17" s="23" t="inlineStr">
        <is>
          <t>IP PHONE Enterprise Desk</t>
        </is>
      </c>
      <c r="F17" s="24" t="n">
        <v>-0.866</v>
      </c>
      <c r="G17" s="24" t="n">
        <v>-0.738</v>
      </c>
      <c r="H17" s="23" t="inlineStr">
        <is>
          <t>Very Strong Negative — Competing budget</t>
        </is>
      </c>
    </row>
    <row r="18">
      <c r="A18" s="9" t="n">
        <v>16</v>
      </c>
      <c r="B18" s="9" t="inlineStr">
        <is>
          <t>#18</t>
        </is>
      </c>
      <c r="C18" s="10" t="inlineStr">
        <is>
          <t>SWITCH Data Center 25G/100G Leaf</t>
        </is>
      </c>
      <c r="D18" s="9" t="inlineStr">
        <is>
          <t>#24</t>
        </is>
      </c>
      <c r="E18" s="10" t="inlineStr">
        <is>
          <t>SWITCH Industrial 8-Port PoE</t>
        </is>
      </c>
      <c r="F18" s="21" t="n">
        <v>0.854</v>
      </c>
      <c r="G18" s="21" t="n">
        <v>0.762</v>
      </c>
      <c r="H18" s="10" t="inlineStr">
        <is>
          <t>Very Strong Positive — Demand cluster</t>
        </is>
      </c>
    </row>
    <row r="19">
      <c r="A19" s="3" t="n">
        <v>17</v>
      </c>
      <c r="B19" s="3" t="inlineStr">
        <is>
          <t>#20</t>
        </is>
      </c>
      <c r="C19" s="4" t="inlineStr">
        <is>
          <t>SWITCH Data Center 100G Spine</t>
        </is>
      </c>
      <c r="D19" s="3" t="inlineStr">
        <is>
          <t>#27</t>
        </is>
      </c>
      <c r="E19" s="4" t="inlineStr">
        <is>
          <t>SWITCH Industrial Managed</t>
        </is>
      </c>
      <c r="F19" s="20" t="n">
        <v>0.854</v>
      </c>
      <c r="G19" s="20" t="n">
        <v>0.714</v>
      </c>
      <c r="H19" s="4" t="inlineStr">
        <is>
          <t>Very Strong Positive — Demand cluster</t>
        </is>
      </c>
    </row>
    <row r="20">
      <c r="A20" s="9" t="n">
        <v>18</v>
      </c>
      <c r="B20" s="9" t="inlineStr">
        <is>
          <t>#17</t>
        </is>
      </c>
      <c r="C20" s="10" t="inlineStr">
        <is>
          <t>SWITCH Enterprise 24-Port PoE+ Compact</t>
        </is>
      </c>
      <c r="D20" s="9" t="inlineStr">
        <is>
          <t>#21</t>
        </is>
      </c>
      <c r="E20" s="10" t="inlineStr">
        <is>
          <t>SWITCH Core 100G/400G Fiber</t>
        </is>
      </c>
      <c r="F20" s="21" t="n">
        <v>0.847</v>
      </c>
      <c r="G20" s="21" t="n">
        <v>0.857</v>
      </c>
      <c r="H20" s="10" t="inlineStr">
        <is>
          <t>Strong Positive</t>
        </is>
      </c>
    </row>
    <row r="21">
      <c r="A21" s="3" t="n">
        <v>19</v>
      </c>
      <c r="B21" s="3" t="inlineStr">
        <is>
          <t>#15</t>
        </is>
      </c>
      <c r="C21" s="4" t="inlineStr">
        <is>
          <t>SECURITY FIREWALL Next-Generation_1</t>
        </is>
      </c>
      <c r="D21" s="3" t="inlineStr">
        <is>
          <t>#21</t>
        </is>
      </c>
      <c r="E21" s="4" t="inlineStr">
        <is>
          <t>SWITCH Core 100G/400G Fiber</t>
        </is>
      </c>
      <c r="F21" s="20" t="n">
        <v>0.844</v>
      </c>
      <c r="G21" s="20" t="n">
        <v>0.905</v>
      </c>
      <c r="H21" s="4" t="inlineStr">
        <is>
          <t>Strong Positive</t>
        </is>
      </c>
    </row>
    <row r="22">
      <c r="A22" s="9" t="n">
        <v>20</v>
      </c>
      <c r="B22" s="9" t="inlineStr">
        <is>
          <t>#8</t>
        </is>
      </c>
      <c r="C22" s="10" t="inlineStr">
        <is>
          <t>SWITCH Enterprise 25G Fiber</t>
        </is>
      </c>
      <c r="D22" s="9" t="inlineStr">
        <is>
          <t>#18</t>
        </is>
      </c>
      <c r="E22" s="10" t="inlineStr">
        <is>
          <t>SWITCH Data Center 25G/100G Leaf</t>
        </is>
      </c>
      <c r="F22" s="21" t="n">
        <v>0.843</v>
      </c>
      <c r="G22" s="21" t="n">
        <v>0.714</v>
      </c>
      <c r="H22" s="10" t="inlineStr">
        <is>
          <t>Strong Positive</t>
        </is>
      </c>
    </row>
    <row r="23">
      <c r="A23" s="3" t="n">
        <v>21</v>
      </c>
      <c r="B23" s="3" t="inlineStr">
        <is>
          <t>#3</t>
        </is>
      </c>
      <c r="C23" s="4" t="inlineStr">
        <is>
          <t>SWITCH Core 25G/100G Fiber</t>
        </is>
      </c>
      <c r="D23" s="3" t="inlineStr">
        <is>
          <t>#9</t>
        </is>
      </c>
      <c r="E23" s="4" t="inlineStr">
        <is>
          <t>SWITCH Enterprise 24-Port UPOE</t>
        </is>
      </c>
      <c r="F23" s="20" t="n">
        <v>0.842</v>
      </c>
      <c r="G23" s="20" t="n">
        <v>0.738</v>
      </c>
      <c r="H23" s="4" t="inlineStr">
        <is>
          <t>Strong Positive</t>
        </is>
      </c>
    </row>
    <row r="24">
      <c r="A24" s="9" t="n">
        <v>22</v>
      </c>
      <c r="B24" s="9" t="inlineStr">
        <is>
          <t>#6</t>
        </is>
      </c>
      <c r="C24" s="10" t="inlineStr">
        <is>
          <t>ROUTER Core Modular Chassis</t>
        </is>
      </c>
      <c r="D24" s="9" t="inlineStr">
        <is>
          <t>#26</t>
        </is>
      </c>
      <c r="E24" s="10" t="inlineStr">
        <is>
          <t>SWITCH Industrial 8-Port PoE Compact</t>
        </is>
      </c>
      <c r="F24" s="21" t="n">
        <v>0.837</v>
      </c>
      <c r="G24" s="21" t="n">
        <v>0.347</v>
      </c>
      <c r="H24" s="10" t="inlineStr">
        <is>
          <t>Strong Positive</t>
        </is>
      </c>
    </row>
    <row r="25">
      <c r="A25" s="22" t="n">
        <v>23</v>
      </c>
      <c r="B25" s="22" t="inlineStr">
        <is>
          <t>#21</t>
        </is>
      </c>
      <c r="C25" s="23" t="inlineStr">
        <is>
          <t>SWITCH Core 100G/400G Fiber</t>
        </is>
      </c>
      <c r="D25" s="22" t="inlineStr">
        <is>
          <t>#22</t>
        </is>
      </c>
      <c r="E25" s="23" t="inlineStr">
        <is>
          <t>IP PHONE Enterprise Desk</t>
        </is>
      </c>
      <c r="F25" s="24" t="n">
        <v>-0.837</v>
      </c>
      <c r="G25" s="24" t="n">
        <v>-0.738</v>
      </c>
      <c r="H25" s="23" t="inlineStr">
        <is>
          <t>Strong Negative — Budget competition</t>
        </is>
      </c>
    </row>
    <row r="26">
      <c r="A26" s="9" t="n">
        <v>24</v>
      </c>
      <c r="B26" s="9" t="inlineStr">
        <is>
          <t>#14</t>
        </is>
      </c>
      <c r="C26" s="10" t="inlineStr">
        <is>
          <t>WIRELESS ACCESS POINT WiFi6E (External Antenna) Outdoor</t>
        </is>
      </c>
      <c r="D26" s="9" t="inlineStr">
        <is>
          <t>#29</t>
        </is>
      </c>
      <c r="E26" s="10" t="inlineStr">
        <is>
          <t>SWITCH Industrial 24-Port PoE</t>
        </is>
      </c>
      <c r="F26" s="21" t="n">
        <v>0.835</v>
      </c>
      <c r="G26" s="21" t="n">
        <v>0.833</v>
      </c>
      <c r="H26" s="10" t="inlineStr">
        <is>
          <t>Strong Positive</t>
        </is>
      </c>
    </row>
    <row r="27">
      <c r="A27" s="3" t="n">
        <v>25</v>
      </c>
      <c r="B27" s="3" t="inlineStr">
        <is>
          <t>#12</t>
        </is>
      </c>
      <c r="C27" s="4" t="inlineStr">
        <is>
          <t>WIRELESS ACCESS POINT WiFi6 (External Antenna) Outdoor</t>
        </is>
      </c>
      <c r="D27" s="3" t="inlineStr">
        <is>
          <t>#19</t>
        </is>
      </c>
      <c r="E27" s="4" t="inlineStr">
        <is>
          <t>WIRELESS ACCESS POINT WiFi6 (External Antenna) Indoor</t>
        </is>
      </c>
      <c r="F27" s="20" t="n">
        <v>0.834</v>
      </c>
      <c r="G27" s="20" t="n">
        <v>0.762</v>
      </c>
      <c r="H27" s="4" t="inlineStr">
        <is>
          <t>Strong Positive</t>
        </is>
      </c>
    </row>
    <row r="28">
      <c r="A28" s="9" t="n">
        <v>26</v>
      </c>
      <c r="B28" s="9" t="inlineStr">
        <is>
          <t>#14</t>
        </is>
      </c>
      <c r="C28" s="10" t="inlineStr">
        <is>
          <t>WIRELESS ACCESS POINT WiFi6E (External Antenna) Outdoor</t>
        </is>
      </c>
      <c r="D28" s="9" t="inlineStr">
        <is>
          <t>#30</t>
        </is>
      </c>
      <c r="E28" s="10" t="inlineStr">
        <is>
          <t>ROUTER Branch 8-Port PoE</t>
        </is>
      </c>
      <c r="F28" s="21" t="n">
        <v>0.833</v>
      </c>
      <c r="G28" s="21" t="n">
        <v>0.833</v>
      </c>
      <c r="H28" s="10" t="inlineStr">
        <is>
          <t>Strong Positive</t>
        </is>
      </c>
    </row>
    <row r="29">
      <c r="A29" s="3" t="n">
        <v>27</v>
      </c>
      <c r="B29" s="3" t="inlineStr">
        <is>
          <t>#14</t>
        </is>
      </c>
      <c r="C29" s="4" t="inlineStr">
        <is>
          <t>WIRELESS ACCESS POINT WiFi6E (External Antenna) Outdoor</t>
        </is>
      </c>
      <c r="D29" s="3" t="inlineStr">
        <is>
          <t>#27</t>
        </is>
      </c>
      <c r="E29" s="4" t="inlineStr">
        <is>
          <t>SWITCH Industrial Managed</t>
        </is>
      </c>
      <c r="F29" s="20" t="n">
        <v>0.831</v>
      </c>
      <c r="G29" s="20" t="n">
        <v>0.762</v>
      </c>
      <c r="H29" s="4" t="inlineStr">
        <is>
          <t>Strong Positive</t>
        </is>
      </c>
    </row>
    <row r="30">
      <c r="A30" s="9" t="n">
        <v>28</v>
      </c>
      <c r="B30" s="9" t="inlineStr">
        <is>
          <t>#21</t>
        </is>
      </c>
      <c r="C30" s="10" t="inlineStr">
        <is>
          <t>SWITCH Core 100G/400G Fiber</t>
        </is>
      </c>
      <c r="D30" s="9" t="inlineStr">
        <is>
          <t>#29</t>
        </is>
      </c>
      <c r="E30" s="10" t="inlineStr">
        <is>
          <t>SWITCH Industrial 24-Port PoE</t>
        </is>
      </c>
      <c r="F30" s="21" t="n">
        <v>0.827</v>
      </c>
      <c r="G30" s="21" t="n">
        <v>0.738</v>
      </c>
      <c r="H30" s="10" t="inlineStr">
        <is>
          <t>Strong Positive</t>
        </is>
      </c>
    </row>
    <row r="31">
      <c r="A31" s="3" t="n">
        <v>29</v>
      </c>
      <c r="B31" s="3" t="inlineStr">
        <is>
          <t>#21</t>
        </is>
      </c>
      <c r="C31" s="4" t="inlineStr">
        <is>
          <t>SWITCH Core 100G/400G Fiber</t>
        </is>
      </c>
      <c r="D31" s="3" t="inlineStr">
        <is>
          <t>#24</t>
        </is>
      </c>
      <c r="E31" s="4" t="inlineStr">
        <is>
          <t>SWITCH Industrial 8-Port PoE</t>
        </is>
      </c>
      <c r="F31" s="20" t="n">
        <v>0.8129999999999999</v>
      </c>
      <c r="G31" s="20" t="n">
        <v>0.786</v>
      </c>
      <c r="H31" s="4" t="inlineStr">
        <is>
          <t>Strong Positive</t>
        </is>
      </c>
    </row>
    <row r="32">
      <c r="A32" s="9" t="n">
        <v>30</v>
      </c>
      <c r="B32" s="9" t="inlineStr">
        <is>
          <t>#11</t>
        </is>
      </c>
      <c r="C32" s="10" t="inlineStr">
        <is>
          <t>SECURITY FIREWALL Next-Generation_2</t>
        </is>
      </c>
      <c r="D32" s="9" t="inlineStr">
        <is>
          <t>#21</t>
        </is>
      </c>
      <c r="E32" s="10" t="inlineStr">
        <is>
          <t>SWITCH Core 100G/400G Fiber</t>
        </is>
      </c>
      <c r="F32" s="21" t="n">
        <v>0.8100000000000001</v>
      </c>
      <c r="G32" s="21" t="n">
        <v>0.786</v>
      </c>
      <c r="H32" s="10" t="inlineStr">
        <is>
          <t>Strong Positive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20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4" customHeight="1">
      <c r="A1" s="25" t="inlineStr">
        <is>
          <t>FY26 Q2 Accuracy Tracker — Enter Actuals in Column D when available</t>
        </is>
      </c>
    </row>
    <row r="2" ht="28" customHeight="1">
      <c r="A2" s="26" t="inlineStr">
        <is>
          <t>#</t>
        </is>
      </c>
      <c r="B2" s="26" t="inlineStr">
        <is>
          <t>Product</t>
        </is>
      </c>
      <c r="C2" s="26" t="inlineStr">
        <is>
          <t>Final Forecast</t>
        </is>
      </c>
      <c r="D2" s="26" t="inlineStr">
        <is>
          <t>← Paste Actual Here</t>
        </is>
      </c>
      <c r="E2" s="26" t="inlineStr">
        <is>
          <t>Accuracy</t>
        </is>
      </c>
      <c r="F2" s="26" t="inlineStr">
        <is>
          <t>Bias %</t>
        </is>
      </c>
      <c r="G2" s="26" t="inlineStr">
        <is>
          <t>Error (Units)</t>
        </is>
      </c>
      <c r="H2" s="26" t="inlineStr">
        <is>
          <t>BD Tier</t>
        </is>
      </c>
    </row>
    <row r="3">
      <c r="A3" s="3" t="n">
        <v>1</v>
      </c>
      <c r="B3" s="4" t="inlineStr">
        <is>
          <t>SWITCH Enterprise 48-Port UPOE</t>
        </is>
      </c>
      <c r="C3" s="5" t="n">
        <v>15082</v>
      </c>
      <c r="D3" s="27" t="n"/>
      <c r="E3" s="7">
        <f>IF(D3="","",1-ABS(C3-D3)/D3)</f>
        <v/>
      </c>
      <c r="F3" s="7">
        <f>IF(D3="","",(C3-D3)/D3)</f>
        <v/>
      </c>
      <c r="G3" s="5">
        <f>IF(D3="","",C3-D3)</f>
        <v/>
      </c>
      <c r="H3" s="3" t="inlineStr">
        <is>
          <t>MEDIUM</t>
        </is>
      </c>
    </row>
    <row r="4">
      <c r="A4" s="9" t="n">
        <v>2</v>
      </c>
      <c r="B4" s="10" t="inlineStr">
        <is>
          <t>WIRELESS ACCESS POINT WiFi6E (Internal Antenna) Indoor</t>
        </is>
      </c>
      <c r="C4" s="11" t="n">
        <v>66401</v>
      </c>
      <c r="D4" s="27" t="n"/>
      <c r="E4" s="13">
        <f>IF(D4="","",1-ABS(C4-D4)/D4)</f>
        <v/>
      </c>
      <c r="F4" s="13">
        <f>IF(D4="","",(C4-D4)/D4)</f>
        <v/>
      </c>
      <c r="G4" s="11">
        <f>IF(D4="","",C4-D4)</f>
        <v/>
      </c>
      <c r="H4" s="9" t="inlineStr">
        <is>
          <t>HIGH</t>
        </is>
      </c>
    </row>
    <row r="5">
      <c r="A5" s="3" t="n">
        <v>3</v>
      </c>
      <c r="B5" s="4" t="inlineStr">
        <is>
          <t>SWITCH Core 25G/100G Fiber</t>
        </is>
      </c>
      <c r="C5" s="5" t="n">
        <v>7398</v>
      </c>
      <c r="D5" s="27" t="n"/>
      <c r="E5" s="7">
        <f>IF(D5="","",1-ABS(C5-D5)/D5)</f>
        <v/>
      </c>
      <c r="F5" s="7">
        <f>IF(D5="","",(C5-D5)/D5)</f>
        <v/>
      </c>
      <c r="G5" s="5">
        <f>IF(D5="","",C5-D5)</f>
        <v/>
      </c>
      <c r="H5" s="3" t="inlineStr">
        <is>
          <t>LOW</t>
        </is>
      </c>
    </row>
    <row r="6">
      <c r="A6" s="9" t="n">
        <v>4</v>
      </c>
      <c r="B6" s="10" t="inlineStr">
        <is>
          <t>SWITCH Enterprise 24-Port PoE+</t>
        </is>
      </c>
      <c r="C6" s="11" t="n">
        <v>8818</v>
      </c>
      <c r="D6" s="27" t="n"/>
      <c r="E6" s="13">
        <f>IF(D6="","",1-ABS(C6-D6)/D6)</f>
        <v/>
      </c>
      <c r="F6" s="13">
        <f>IF(D6="","",(C6-D6)/D6)</f>
        <v/>
      </c>
      <c r="G6" s="11">
        <f>IF(D6="","",C6-D6)</f>
        <v/>
      </c>
      <c r="H6" s="9" t="inlineStr">
        <is>
          <t>MEDIUM</t>
        </is>
      </c>
    </row>
    <row r="7">
      <c r="A7" s="3" t="n">
        <v>5</v>
      </c>
      <c r="B7" s="4" t="inlineStr">
        <is>
          <t>WIRELESS ACCESS POINT WiFi6 (Internal Antenna) Indoor</t>
        </is>
      </c>
      <c r="C7" s="5" t="n">
        <v>44305</v>
      </c>
      <c r="D7" s="27" t="n"/>
      <c r="E7" s="7">
        <f>IF(D7="","",1-ABS(C7-D7)/D7)</f>
        <v/>
      </c>
      <c r="F7" s="7">
        <f>IF(D7="","",(C7-D7)/D7)</f>
        <v/>
      </c>
      <c r="G7" s="5">
        <f>IF(D7="","",C7-D7)</f>
        <v/>
      </c>
      <c r="H7" s="3" t="inlineStr">
        <is>
          <t>HIGH</t>
        </is>
      </c>
    </row>
    <row r="8">
      <c r="A8" s="9" t="n">
        <v>6</v>
      </c>
      <c r="B8" s="10" t="inlineStr">
        <is>
          <t>ROUTER Core Modular Chassis</t>
        </is>
      </c>
      <c r="C8" s="11" t="n">
        <v>537</v>
      </c>
      <c r="D8" s="27" t="n"/>
      <c r="E8" s="13">
        <f>IF(D8="","",1-ABS(C8-D8)/D8)</f>
        <v/>
      </c>
      <c r="F8" s="13">
        <f>IF(D8="","",(C8-D8)/D8)</f>
        <v/>
      </c>
      <c r="G8" s="11">
        <f>IF(D8="","",C8-D8)</f>
        <v/>
      </c>
      <c r="H8" s="9" t="inlineStr">
        <is>
          <t>LOW</t>
        </is>
      </c>
    </row>
    <row r="9">
      <c r="A9" s="3" t="n">
        <v>7</v>
      </c>
      <c r="B9" s="4" t="inlineStr">
        <is>
          <t>SWITCH Enterprise 48-Port Fiber (Non-PoE)</t>
        </is>
      </c>
      <c r="C9" s="5" t="n">
        <v>2648</v>
      </c>
      <c r="D9" s="27" t="n"/>
      <c r="E9" s="7">
        <f>IF(D9="","",1-ABS(C9-D9)/D9)</f>
        <v/>
      </c>
      <c r="F9" s="7">
        <f>IF(D9="","",(C9-D9)/D9)</f>
        <v/>
      </c>
      <c r="G9" s="5">
        <f>IF(D9="","",C9-D9)</f>
        <v/>
      </c>
      <c r="H9" s="3" t="inlineStr">
        <is>
          <t>LOW</t>
        </is>
      </c>
    </row>
    <row r="10">
      <c r="A10" s="9" t="n">
        <v>8</v>
      </c>
      <c r="B10" s="10" t="inlineStr">
        <is>
          <t>SWITCH Enterprise 25G Fiber</t>
        </is>
      </c>
      <c r="C10" s="11" t="n">
        <v>3743</v>
      </c>
      <c r="D10" s="27" t="n"/>
      <c r="E10" s="13">
        <f>IF(D10="","",1-ABS(C10-D10)/D10)</f>
        <v/>
      </c>
      <c r="F10" s="13">
        <f>IF(D10="","",(C10-D10)/D10)</f>
        <v/>
      </c>
      <c r="G10" s="11">
        <f>IF(D10="","",C10-D10)</f>
        <v/>
      </c>
      <c r="H10" s="9" t="inlineStr">
        <is>
          <t>LOW</t>
        </is>
      </c>
    </row>
    <row r="11">
      <c r="A11" s="3" t="n">
        <v>9</v>
      </c>
      <c r="B11" s="4" t="inlineStr">
        <is>
          <t>SWITCH Enterprise 24-Port UPOE</t>
        </is>
      </c>
      <c r="C11" s="5" t="n">
        <v>3220</v>
      </c>
      <c r="D11" s="27" t="n"/>
      <c r="E11" s="7">
        <f>IF(D11="","",1-ABS(C11-D11)/D11)</f>
        <v/>
      </c>
      <c r="F11" s="7">
        <f>IF(D11="","",(C11-D11)/D11)</f>
        <v/>
      </c>
      <c r="G11" s="5">
        <f>IF(D11="","",C11-D11)</f>
        <v/>
      </c>
      <c r="H11" s="3" t="inlineStr">
        <is>
          <t>MEDIUM</t>
        </is>
      </c>
    </row>
    <row r="12">
      <c r="A12" s="9" t="n">
        <v>10</v>
      </c>
      <c r="B12" s="10" t="inlineStr">
        <is>
          <t>ROUTER Enterprise Edge 10G/40G</t>
        </is>
      </c>
      <c r="C12" s="11" t="n">
        <v>557</v>
      </c>
      <c r="D12" s="27" t="n"/>
      <c r="E12" s="13">
        <f>IF(D12="","",1-ABS(C12-D12)/D12)</f>
        <v/>
      </c>
      <c r="F12" s="13">
        <f>IF(D12="","",(C12-D12)/D12)</f>
        <v/>
      </c>
      <c r="G12" s="11">
        <f>IF(D12="","",C12-D12)</f>
        <v/>
      </c>
      <c r="H12" s="9" t="inlineStr">
        <is>
          <t>MEDIUM</t>
        </is>
      </c>
    </row>
    <row r="13">
      <c r="A13" s="3" t="n">
        <v>11</v>
      </c>
      <c r="B13" s="4" t="inlineStr">
        <is>
          <t>SECURITY FIREWALL Next-Generation_2</t>
        </is>
      </c>
      <c r="C13" s="5" t="n">
        <v>267</v>
      </c>
      <c r="D13" s="27" t="n"/>
      <c r="E13" s="7">
        <f>IF(D13="","",1-ABS(C13-D13)/D13)</f>
        <v/>
      </c>
      <c r="F13" s="7">
        <f>IF(D13="","",(C13-D13)/D13)</f>
        <v/>
      </c>
      <c r="G13" s="5">
        <f>IF(D13="","",C13-D13)</f>
        <v/>
      </c>
      <c r="H13" s="3" t="inlineStr">
        <is>
          <t>LOW</t>
        </is>
      </c>
    </row>
    <row r="14">
      <c r="A14" s="9" t="n">
        <v>12</v>
      </c>
      <c r="B14" s="10" t="inlineStr">
        <is>
          <t>WIRELESS ACCESS POINT WiFi6 (External Antenna) Outdoor</t>
        </is>
      </c>
      <c r="C14" s="11" t="n">
        <v>4054</v>
      </c>
      <c r="D14" s="27" t="n"/>
      <c r="E14" s="13">
        <f>IF(D14="","",1-ABS(C14-D14)/D14)</f>
        <v/>
      </c>
      <c r="F14" s="13">
        <f>IF(D14="","",(C14-D14)/D14)</f>
        <v/>
      </c>
      <c r="G14" s="11">
        <f>IF(D14="","",C14-D14)</f>
        <v/>
      </c>
      <c r="H14" s="9" t="inlineStr">
        <is>
          <t>LOW</t>
        </is>
      </c>
    </row>
    <row r="15">
      <c r="A15" s="3" t="n">
        <v>13</v>
      </c>
      <c r="B15" s="4" t="inlineStr">
        <is>
          <t>SWITCH Core 100G Fiber</t>
        </is>
      </c>
      <c r="C15" s="5" t="n">
        <v>655</v>
      </c>
      <c r="D15" s="27" t="n"/>
      <c r="E15" s="7">
        <f>IF(D15="","",1-ABS(C15-D15)/D15)</f>
        <v/>
      </c>
      <c r="F15" s="7">
        <f>IF(D15="","",(C15-D15)/D15)</f>
        <v/>
      </c>
      <c r="G15" s="5">
        <f>IF(D15="","",C15-D15)</f>
        <v/>
      </c>
      <c r="H15" s="3" t="inlineStr">
        <is>
          <t>MEDIUM</t>
        </is>
      </c>
    </row>
    <row r="16">
      <c r="A16" s="9" t="n">
        <v>14</v>
      </c>
      <c r="B16" s="10" t="inlineStr">
        <is>
          <t>WIRELESS ACCESS POINT WiFi6E (External Antenna) Outdoor</t>
        </is>
      </c>
      <c r="C16" s="11" t="n">
        <v>5653</v>
      </c>
      <c r="D16" s="27" t="n"/>
      <c r="E16" s="13">
        <f>IF(D16="","",1-ABS(C16-D16)/D16)</f>
        <v/>
      </c>
      <c r="F16" s="13">
        <f>IF(D16="","",(C16-D16)/D16)</f>
        <v/>
      </c>
      <c r="G16" s="11">
        <f>IF(D16="","",C16-D16)</f>
        <v/>
      </c>
      <c r="H16" s="9" t="inlineStr">
        <is>
          <t>HIGH</t>
        </is>
      </c>
    </row>
    <row r="17">
      <c r="A17" s="3" t="n">
        <v>15</v>
      </c>
      <c r="B17" s="4" t="inlineStr">
        <is>
          <t>SECURITY FIREWALL Next-Generation_1</t>
        </is>
      </c>
      <c r="C17" s="5" t="n">
        <v>342</v>
      </c>
      <c r="D17" s="27" t="n"/>
      <c r="E17" s="7">
        <f>IF(D17="","",1-ABS(C17-D17)/D17)</f>
        <v/>
      </c>
      <c r="F17" s="7">
        <f>IF(D17="","",(C17-D17)/D17)</f>
        <v/>
      </c>
      <c r="G17" s="5">
        <f>IF(D17="","",C17-D17)</f>
        <v/>
      </c>
      <c r="H17" s="3" t="inlineStr">
        <is>
          <t>LOW</t>
        </is>
      </c>
    </row>
    <row r="18">
      <c r="A18" s="9" t="n">
        <v>16</v>
      </c>
      <c r="B18" s="10" t="inlineStr">
        <is>
          <t>SWITCH Enterprise 48-Port PoE+ with 10G Uplink</t>
        </is>
      </c>
      <c r="C18" s="11" t="n">
        <v>1940</v>
      </c>
      <c r="D18" s="27" t="n"/>
      <c r="E18" s="13">
        <f>IF(D18="","",1-ABS(C18-D18)/D18)</f>
        <v/>
      </c>
      <c r="F18" s="13">
        <f>IF(D18="","",(C18-D18)/D18)</f>
        <v/>
      </c>
      <c r="G18" s="11">
        <f>IF(D18="","",C18-D18)</f>
        <v/>
      </c>
      <c r="H18" s="9" t="inlineStr">
        <is>
          <t>HIGH</t>
        </is>
      </c>
    </row>
    <row r="19">
      <c r="A19" s="3" t="n">
        <v>17</v>
      </c>
      <c r="B19" s="4" t="inlineStr">
        <is>
          <t>SWITCH Enterprise 24-Port PoE+ Compact</t>
        </is>
      </c>
      <c r="C19" s="5" t="n">
        <v>1439</v>
      </c>
      <c r="D19" s="27" t="n"/>
      <c r="E19" s="7">
        <f>IF(D19="","",1-ABS(C19-D19)/D19)</f>
        <v/>
      </c>
      <c r="F19" s="7">
        <f>IF(D19="","",(C19-D19)/D19)</f>
        <v/>
      </c>
      <c r="G19" s="5">
        <f>IF(D19="","",C19-D19)</f>
        <v/>
      </c>
      <c r="H19" s="3" t="inlineStr">
        <is>
          <t>MEDIUM</t>
        </is>
      </c>
    </row>
    <row r="20">
      <c r="A20" s="9" t="n">
        <v>18</v>
      </c>
      <c r="B20" s="10" t="inlineStr">
        <is>
          <t>SWITCH Data Center 25G/100G Leaf</t>
        </is>
      </c>
      <c r="C20" s="11" t="n">
        <v>981</v>
      </c>
      <c r="D20" s="27" t="n"/>
      <c r="E20" s="13">
        <f>IF(D20="","",1-ABS(C20-D20)/D20)</f>
        <v/>
      </c>
      <c r="F20" s="13">
        <f>IF(D20="","",(C20-D20)/D20)</f>
        <v/>
      </c>
      <c r="G20" s="11">
        <f>IF(D20="","",C20-D20)</f>
        <v/>
      </c>
      <c r="H20" s="9" t="inlineStr">
        <is>
          <t>LOW</t>
        </is>
      </c>
    </row>
    <row r="21">
      <c r="A21" s="3" t="n">
        <v>19</v>
      </c>
      <c r="B21" s="4" t="inlineStr">
        <is>
          <t>WIRELESS ACCESS POINT WiFi6 (External Antenna) Indoor</t>
        </is>
      </c>
      <c r="C21" s="5" t="n">
        <v>7448</v>
      </c>
      <c r="D21" s="27" t="n"/>
      <c r="E21" s="7">
        <f>IF(D21="","",1-ABS(C21-D21)/D21)</f>
        <v/>
      </c>
      <c r="F21" s="7">
        <f>IF(D21="","",(C21-D21)/D21)</f>
        <v/>
      </c>
      <c r="G21" s="5">
        <f>IF(D21="","",C21-D21)</f>
        <v/>
      </c>
      <c r="H21" s="3" t="inlineStr">
        <is>
          <t>MEDIUM</t>
        </is>
      </c>
    </row>
    <row r="22">
      <c r="A22" s="9" t="n">
        <v>20</v>
      </c>
      <c r="B22" s="10" t="inlineStr">
        <is>
          <t>SWITCH Data Center 100G Spine</t>
        </is>
      </c>
      <c r="C22" s="11" t="n">
        <v>433</v>
      </c>
      <c r="D22" s="27" t="n"/>
      <c r="E22" s="13">
        <f>IF(D22="","",1-ABS(C22-D22)/D22)</f>
        <v/>
      </c>
      <c r="F22" s="13">
        <f>IF(D22="","",(C22-D22)/D22)</f>
        <v/>
      </c>
      <c r="G22" s="11">
        <f>IF(D22="","",C22-D22)</f>
        <v/>
      </c>
      <c r="H22" s="9" t="inlineStr">
        <is>
          <t>MEDIUM</t>
        </is>
      </c>
    </row>
    <row r="23">
      <c r="A23" s="3" t="n">
        <v>21</v>
      </c>
      <c r="B23" s="4" t="inlineStr">
        <is>
          <t>SWITCH Core 100G/400G Fiber</t>
        </is>
      </c>
      <c r="C23" s="5" t="n">
        <v>256</v>
      </c>
      <c r="D23" s="27" t="n"/>
      <c r="E23" s="7">
        <f>IF(D23="","",1-ABS(C23-D23)/D23)</f>
        <v/>
      </c>
      <c r="F23" s="7">
        <f>IF(D23="","",(C23-D23)/D23)</f>
        <v/>
      </c>
      <c r="G23" s="5">
        <f>IF(D23="","",C23-D23)</f>
        <v/>
      </c>
      <c r="H23" s="3" t="inlineStr">
        <is>
          <t>MEDIUM</t>
        </is>
      </c>
    </row>
    <row r="24">
      <c r="A24" s="9" t="n">
        <v>22</v>
      </c>
      <c r="B24" s="10" t="inlineStr">
        <is>
          <t>IP PHONE Enterprise Desk</t>
        </is>
      </c>
      <c r="C24" s="11" t="n">
        <v>13220</v>
      </c>
      <c r="D24" s="27" t="n"/>
      <c r="E24" s="13">
        <f>IF(D24="","",1-ABS(C24-D24)/D24)</f>
        <v/>
      </c>
      <c r="F24" s="13">
        <f>IF(D24="","",(C24-D24)/D24)</f>
        <v/>
      </c>
      <c r="G24" s="11">
        <f>IF(D24="","",C24-D24)</f>
        <v/>
      </c>
      <c r="H24" s="9" t="inlineStr">
        <is>
          <t>HIGH</t>
        </is>
      </c>
    </row>
    <row r="25">
      <c r="A25" s="3" t="n">
        <v>23</v>
      </c>
      <c r="B25" s="4" t="inlineStr">
        <is>
          <t>ROUTER Branch 4-Port PoE</t>
        </is>
      </c>
      <c r="C25" s="5" t="n">
        <v>5932</v>
      </c>
      <c r="D25" s="27" t="n"/>
      <c r="E25" s="7">
        <f>IF(D25="","",1-ABS(C25-D25)/D25)</f>
        <v/>
      </c>
      <c r="F25" s="7">
        <f>IF(D25="","",(C25-D25)/D25)</f>
        <v/>
      </c>
      <c r="G25" s="5">
        <f>IF(D25="","",C25-D25)</f>
        <v/>
      </c>
      <c r="H25" s="3" t="inlineStr">
        <is>
          <t>HIGH</t>
        </is>
      </c>
    </row>
    <row r="26">
      <c r="A26" s="9" t="n">
        <v>24</v>
      </c>
      <c r="B26" s="10" t="inlineStr">
        <is>
          <t>SWITCH Industrial 8-Port PoE</t>
        </is>
      </c>
      <c r="C26" s="11" t="n">
        <v>3069</v>
      </c>
      <c r="D26" s="27" t="n"/>
      <c r="E26" s="13">
        <f>IF(D26="","",1-ABS(C26-D26)/D26)</f>
        <v/>
      </c>
      <c r="F26" s="13">
        <f>IF(D26="","",(C26-D26)/D26)</f>
        <v/>
      </c>
      <c r="G26" s="11">
        <f>IF(D26="","",C26-D26)</f>
        <v/>
      </c>
      <c r="H26" s="9" t="inlineStr">
        <is>
          <t>HIGH</t>
        </is>
      </c>
    </row>
    <row r="27">
      <c r="A27" s="3" t="n">
        <v>25</v>
      </c>
      <c r="B27" s="4" t="inlineStr">
        <is>
          <t>IP CONFERENCE PHONE</t>
        </is>
      </c>
      <c r="C27" s="5" t="n">
        <v>2933</v>
      </c>
      <c r="D27" s="27" t="n"/>
      <c r="E27" s="7">
        <f>IF(D27="","",1-ABS(C27-D27)/D27)</f>
        <v/>
      </c>
      <c r="F27" s="7">
        <f>IF(D27="","",(C27-D27)/D27)</f>
        <v/>
      </c>
      <c r="G27" s="5">
        <f>IF(D27="","",C27-D27)</f>
        <v/>
      </c>
      <c r="H27" s="3" t="inlineStr">
        <is>
          <t>HIGH</t>
        </is>
      </c>
    </row>
    <row r="28">
      <c r="A28" s="9" t="n">
        <v>26</v>
      </c>
      <c r="B28" s="10" t="inlineStr">
        <is>
          <t>SWITCH Industrial 8-Port PoE Compact</t>
        </is>
      </c>
      <c r="C28" s="11" t="n">
        <v>1922</v>
      </c>
      <c r="D28" s="27" t="n"/>
      <c r="E28" s="13">
        <f>IF(D28="","",1-ABS(C28-D28)/D28)</f>
        <v/>
      </c>
      <c r="F28" s="13">
        <f>IF(D28="","",(C28-D28)/D28)</f>
        <v/>
      </c>
      <c r="G28" s="11">
        <f>IF(D28="","",C28-D28)</f>
        <v/>
      </c>
      <c r="H28" s="9" t="inlineStr">
        <is>
          <t>HIGH</t>
        </is>
      </c>
    </row>
    <row r="29">
      <c r="A29" s="3" t="n">
        <v>27</v>
      </c>
      <c r="B29" s="4" t="inlineStr">
        <is>
          <t>SWITCH Industrial Managed</t>
        </is>
      </c>
      <c r="C29" s="5" t="n">
        <v>2033</v>
      </c>
      <c r="D29" s="27" t="n"/>
      <c r="E29" s="7">
        <f>IF(D29="","",1-ABS(C29-D29)/D29)</f>
        <v/>
      </c>
      <c r="F29" s="7">
        <f>IF(D29="","",(C29-D29)/D29)</f>
        <v/>
      </c>
      <c r="G29" s="5">
        <f>IF(D29="","",C29-D29)</f>
        <v/>
      </c>
      <c r="H29" s="3" t="inlineStr">
        <is>
          <t>MEDIUM</t>
        </is>
      </c>
    </row>
    <row r="30">
      <c r="A30" s="9" t="n">
        <v>28</v>
      </c>
      <c r="B30" s="10" t="inlineStr">
        <is>
          <t>ROUTER Edge Aggregation Fiber</t>
        </is>
      </c>
      <c r="C30" s="11" t="n">
        <v>1283</v>
      </c>
      <c r="D30" s="27" t="n"/>
      <c r="E30" s="13">
        <f>IF(D30="","",1-ABS(C30-D30)/D30)</f>
        <v/>
      </c>
      <c r="F30" s="13">
        <f>IF(D30="","",(C30-D30)/D30)</f>
        <v/>
      </c>
      <c r="G30" s="11">
        <f>IF(D30="","",C30-D30)</f>
        <v/>
      </c>
      <c r="H30" s="9" t="inlineStr">
        <is>
          <t>HIGH</t>
        </is>
      </c>
    </row>
    <row r="31">
      <c r="A31" s="3" t="n">
        <v>29</v>
      </c>
      <c r="B31" s="4" t="inlineStr">
        <is>
          <t>SWITCH Industrial 24-Port PoE</t>
        </is>
      </c>
      <c r="C31" s="5" t="n">
        <v>428</v>
      </c>
      <c r="D31" s="27" t="n"/>
      <c r="E31" s="7">
        <f>IF(D31="","",1-ABS(C31-D31)/D31)</f>
        <v/>
      </c>
      <c r="F31" s="7">
        <f>IF(D31="","",(C31-D31)/D31)</f>
        <v/>
      </c>
      <c r="G31" s="5">
        <f>IF(D31="","",C31-D31)</f>
        <v/>
      </c>
      <c r="H31" s="3" t="inlineStr">
        <is>
          <t>HIGH</t>
        </is>
      </c>
    </row>
    <row r="32">
      <c r="A32" s="9" t="n">
        <v>30</v>
      </c>
      <c r="B32" s="10" t="inlineStr">
        <is>
          <t>ROUTER Branch 8-Port PoE</t>
        </is>
      </c>
      <c r="C32" s="11" t="n">
        <v>1344</v>
      </c>
      <c r="D32" s="27" t="n"/>
      <c r="E32" s="13">
        <f>IF(D32="","",1-ABS(C32-D32)/D32)</f>
        <v/>
      </c>
      <c r="F32" s="13">
        <f>IF(D32="","",(C32-D32)/D32)</f>
        <v/>
      </c>
      <c r="G32" s="11">
        <f>IF(D32="","",C32-D32)</f>
        <v/>
      </c>
      <c r="H32" s="9" t="inlineStr">
        <is>
          <t>HIGH</t>
        </is>
      </c>
    </row>
    <row r="33">
      <c r="A33" s="28" t="inlineStr">
        <is>
          <t>TOTAL</t>
        </is>
      </c>
      <c r="C33" s="29">
        <f>SUM(C3:C32)</f>
        <v/>
      </c>
      <c r="D33" s="29">
        <f>SUM(D3:D32)</f>
        <v/>
      </c>
      <c r="E33" s="30">
        <f>IF(D33=0,"",1-ABS(C33-D33)/D33)</f>
        <v/>
      </c>
      <c r="F33" s="30">
        <f>IF(D33=0,"",(C33-D33)/D33)</f>
        <v/>
      </c>
    </row>
  </sheetData>
  <mergeCells count="2">
    <mergeCell ref="A33:B3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2026-04-22T11:04:43Z</dcterms:created>
  <dcterms:modified xmlns:dcterms="http://purl.org/dc/terms/" xmlns:xsi="http://www.w3.org/2001/XMLSchema-instance" xsi:type="dcterms:W3CDTF">2026-04-22T11:04:43Z</dcterms:modified>
</cp:coreProperties>
</file>